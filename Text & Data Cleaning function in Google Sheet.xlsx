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 Syntax" sheetId="1" r:id="rId5"/>
    <sheet state="visible" name="Validatation" sheetId="2" r:id="rId6"/>
    <sheet state="visible" name="Reference Types" sheetId="3" r:id="rId7"/>
    <sheet state="visible" name="Text Functions" sheetId="4" r:id="rId8"/>
  </sheets>
  <definedNames/>
  <calcPr/>
</workbook>
</file>

<file path=xl/sharedStrings.xml><?xml version="1.0" encoding="utf-8"?>
<sst xmlns="http://schemas.openxmlformats.org/spreadsheetml/2006/main" count="500" uniqueCount="387">
  <si>
    <t>Name</t>
  </si>
  <si>
    <t>Street Address</t>
  </si>
  <si>
    <t>City</t>
  </si>
  <si>
    <t>Zip</t>
  </si>
  <si>
    <t>Birth Date</t>
  </si>
  <si>
    <t>Birth Year</t>
  </si>
  <si>
    <t>Telephone</t>
  </si>
  <si>
    <t>Area Code</t>
  </si>
  <si>
    <t>E-mail</t>
  </si>
  <si>
    <t>Username</t>
  </si>
  <si>
    <t>provider</t>
  </si>
  <si>
    <t>Jennifer Mcgrath</t>
  </si>
  <si>
    <t>985 Eagle Street</t>
  </si>
  <si>
    <t>Fieldon</t>
  </si>
  <si>
    <r>
      <rPr>
        <rFont val="Calibri"/>
        <b/>
        <color theme="1"/>
        <sz val="9.0"/>
      </rPr>
      <t>Growth Rate</t>
    </r>
    <r>
      <rPr>
        <rFont val="Calibri"/>
        <b/>
        <i/>
        <color theme="1"/>
        <sz val="9.0"/>
      </rPr>
      <t xml:space="preserve"> (expected)</t>
    </r>
  </si>
  <si>
    <t>Starting Balance</t>
  </si>
  <si>
    <t>10-YEAR FINANCIAL PROJECTION</t>
  </si>
  <si>
    <t>618-376-3064</t>
  </si>
  <si>
    <t>First Name</t>
  </si>
  <si>
    <t>Proper First Name</t>
  </si>
  <si>
    <t>JenniferJMcGrath99@gmail.com</t>
  </si>
  <si>
    <t>gmail</t>
  </si>
  <si>
    <t>Chad Lewis</t>
  </si>
  <si>
    <t>267 Francis Mine</t>
  </si>
  <si>
    <t>Downieville</t>
  </si>
  <si>
    <t>Year 1</t>
  </si>
  <si>
    <t>Last Name</t>
  </si>
  <si>
    <t>Proper Last Name</t>
  </si>
  <si>
    <t>530-289-3807</t>
  </si>
  <si>
    <t>Year 2</t>
  </si>
  <si>
    <t>ChadSLewis51@aol.com</t>
  </si>
  <si>
    <t>Year 3</t>
  </si>
  <si>
    <t>Susan Rodriguez</t>
  </si>
  <si>
    <t>4620 Williams Mine Road</t>
  </si>
  <si>
    <t>Year 4</t>
  </si>
  <si>
    <t>Maplewood</t>
  </si>
  <si>
    <t>Full Name</t>
  </si>
  <si>
    <t>Year 5</t>
  </si>
  <si>
    <t>Gender</t>
  </si>
  <si>
    <t>Year 6</t>
  </si>
  <si>
    <t>908-264-1670</t>
  </si>
  <si>
    <t>SusanSRodriguez71@hotmail.com</t>
  </si>
  <si>
    <t>Year 7</t>
  </si>
  <si>
    <t>Year 8</t>
  </si>
  <si>
    <t>PROPERTY COST</t>
  </si>
  <si>
    <t>Wayne Nielson</t>
  </si>
  <si>
    <t>1829 White Pine Lane</t>
  </si>
  <si>
    <t>Year 9</t>
  </si>
  <si>
    <t>Dahlgren</t>
  </si>
  <si>
    <t>State</t>
  </si>
  <si>
    <t>Year 10</t>
  </si>
  <si>
    <t>ZipCode</t>
  </si>
  <si>
    <t>Asset A</t>
  </si>
  <si>
    <t>New ZIP</t>
  </si>
  <si>
    <t>540-644-7658</t>
  </si>
  <si>
    <t>WayneMNielson17@aol.com</t>
  </si>
  <si>
    <t>aol</t>
  </si>
  <si>
    <t>Cash to Close:</t>
  </si>
  <si>
    <t>Full Address</t>
  </si>
  <si>
    <t>John Depaul</t>
  </si>
  <si>
    <t>1165 Victoria Street</t>
  </si>
  <si>
    <t>Baton Rouge</t>
  </si>
  <si>
    <t>E-mail Service</t>
  </si>
  <si>
    <t>225-274-4802</t>
  </si>
  <si>
    <t>Provider</t>
  </si>
  <si>
    <t>JohnDDepaul47@gmail.com</t>
  </si>
  <si>
    <t>Joseph Martinez</t>
  </si>
  <si>
    <t>3866 Mattson Street</t>
  </si>
  <si>
    <t>Portland</t>
  </si>
  <si>
    <t>New Phone #</t>
  </si>
  <si>
    <t>503-402-2075</t>
  </si>
  <si>
    <t>JosephJMartinez96@aol.com</t>
  </si>
  <si>
    <t>Prefix</t>
  </si>
  <si>
    <t>Purchase Price</t>
  </si>
  <si>
    <t>Diane Henry</t>
  </si>
  <si>
    <t>3902 Valley Lane</t>
  </si>
  <si>
    <t>Line Number</t>
  </si>
  <si>
    <t>Austin</t>
  </si>
  <si>
    <t>NationalID</t>
  </si>
  <si>
    <t>512-633-7667</t>
  </si>
  <si>
    <t>Short ID</t>
  </si>
  <si>
    <t>DianeKHenry868@gmail.com</t>
  </si>
  <si>
    <t>Veronica Comerford</t>
  </si>
  <si>
    <t xml:space="preserve">JENNIFER </t>
  </si>
  <si>
    <t>3932 Franklin Street</t>
  </si>
  <si>
    <t>Tuskegee</t>
  </si>
  <si>
    <t>Asset B</t>
  </si>
  <si>
    <t>334-725-7343</t>
  </si>
  <si>
    <t>VeronicaMComerford70@gmail.com</t>
  </si>
  <si>
    <t>Beverly Nixon</t>
  </si>
  <si>
    <t>3480 Dancing Dove Lane</t>
  </si>
  <si>
    <t>Long Island City</t>
  </si>
  <si>
    <t>MCGRATH</t>
  </si>
  <si>
    <t>347-626-0700</t>
  </si>
  <si>
    <t>BeverlyDNixon93@aol.com</t>
  </si>
  <si>
    <t>female</t>
  </si>
  <si>
    <t>Ivan Layton</t>
  </si>
  <si>
    <t>211 Hardesty Street</t>
  </si>
  <si>
    <t>Tax Rate</t>
  </si>
  <si>
    <t>Albany</t>
  </si>
  <si>
    <t>IL</t>
  </si>
  <si>
    <t>518-431-7602</t>
  </si>
  <si>
    <t>IvanSLayton70@gmail.com</t>
  </si>
  <si>
    <t>Shannon Ford</t>
  </si>
  <si>
    <t>4430 Colonial Drive</t>
  </si>
  <si>
    <t>Bryan</t>
  </si>
  <si>
    <t>985 Eagle Street, Fieldon, IL, 62031</t>
  </si>
  <si>
    <t>979-814-1664</t>
  </si>
  <si>
    <t>JenniferJMcGrath@gmail.com</t>
  </si>
  <si>
    <t>ShannonHFord50@aol.com</t>
  </si>
  <si>
    <t>Debra Ponce</t>
  </si>
  <si>
    <t>Asset C</t>
  </si>
  <si>
    <t>4418 Sussex Court</t>
  </si>
  <si>
    <t>Dallas</t>
  </si>
  <si>
    <t>?</t>
  </si>
  <si>
    <t>254-488-3212</t>
  </si>
  <si>
    <t>DebraFPonce28@gmail.com</t>
  </si>
  <si>
    <t>Margaret Bryner</t>
  </si>
  <si>
    <t>738 Melm Street</t>
  </si>
  <si>
    <t>LOAN COST</t>
  </si>
  <si>
    <t>Providence</t>
  </si>
  <si>
    <t>401-222-2097</t>
  </si>
  <si>
    <t>MargaretRBryner44@aol.com</t>
  </si>
  <si>
    <t>Barbara Smith</t>
  </si>
  <si>
    <t>352 Lake Road</t>
  </si>
  <si>
    <t>Egg Harbor</t>
  </si>
  <si>
    <t>609-412-4268</t>
  </si>
  <si>
    <t>Down Payment %</t>
  </si>
  <si>
    <t>BarbaraESmith56@hotmail.com</t>
  </si>
  <si>
    <t>Sue Gay</t>
  </si>
  <si>
    <t>2680 Comfort Court</t>
  </si>
  <si>
    <t>Cataract</t>
  </si>
  <si>
    <t>608-272-8021</t>
  </si>
  <si>
    <t>SuePGay9@aol.com</t>
  </si>
  <si>
    <t>Mark Flores</t>
  </si>
  <si>
    <t>42 Mount Street</t>
  </si>
  <si>
    <t>Saginaw</t>
  </si>
  <si>
    <t>989-669-4705</t>
  </si>
  <si>
    <t>Interest Rate</t>
  </si>
  <si>
    <t>MarkSFlores29@aol.com</t>
  </si>
  <si>
    <t>Julie Purington</t>
  </si>
  <si>
    <t>4953 Mahlon Street</t>
  </si>
  <si>
    <t>Piscataway</t>
  </si>
  <si>
    <t>732-981-4756</t>
  </si>
  <si>
    <t>JulieBPurington43@hotmail.com</t>
  </si>
  <si>
    <t>Different Error Types:</t>
  </si>
  <si>
    <t>Debbie Schuler</t>
  </si>
  <si>
    <t>673 Mapleview Drive</t>
  </si>
  <si>
    <t>Bolivar</t>
  </si>
  <si>
    <t>Monthly Expenses:</t>
  </si>
  <si>
    <t>731-228-0270</t>
  </si>
  <si>
    <t>DebbieJSchuler46@hotmail.com</t>
  </si>
  <si>
    <t>Grace Renninger</t>
  </si>
  <si>
    <t>2363 Oakmound Road</t>
  </si>
  <si>
    <t>Chicago</t>
  </si>
  <si>
    <t>Term Length (yrs)</t>
  </si>
  <si>
    <t>84-158</t>
  </si>
  <si>
    <t>773-250-4788</t>
  </si>
  <si>
    <t>GraceCRenninger23@gmail.com</t>
  </si>
  <si>
    <t>James Weiss</t>
  </si>
  <si>
    <t>1278 Cemetery Street</t>
  </si>
  <si>
    <t>Houston</t>
  </si>
  <si>
    <t>832-232-4190</t>
  </si>
  <si>
    <t xml:space="preserve">CHAD </t>
  </si>
  <si>
    <t>JamesCWeiss7@aol.com</t>
  </si>
  <si>
    <t>LEWIS</t>
  </si>
  <si>
    <t>PROPERTY DETAILS</t>
  </si>
  <si>
    <t>Loan Amount</t>
  </si>
  <si>
    <t>male</t>
  </si>
  <si>
    <t>Est. Closing Costs</t>
  </si>
  <si>
    <t>CA</t>
  </si>
  <si>
    <t>Address:</t>
  </si>
  <si>
    <t>267 Francis Mine, Downieville, CA, 95936</t>
  </si>
  <si>
    <t>ChadSLewis@aol.com</t>
  </si>
  <si>
    <t>63 Main St.</t>
  </si>
  <si>
    <t>Zip Code:</t>
  </si>
  <si>
    <t>60-851</t>
  </si>
  <si>
    <t xml:space="preserve"> SUSAN</t>
  </si>
  <si>
    <t>MLS #</t>
  </si>
  <si>
    <t>RODRIGUEZ</t>
  </si>
  <si>
    <t>Year Built:</t>
  </si>
  <si>
    <t>MONTHLY EXPENSES</t>
  </si>
  <si>
    <t>NJ</t>
  </si>
  <si>
    <t>4620 Williams Mine Road, Maplewood, NJ, 7040</t>
  </si>
  <si>
    <t>SusanSRodriguez@hotmail.com</t>
  </si>
  <si>
    <t>Beds/Baths:</t>
  </si>
  <si>
    <t>3 bed, 2 bath</t>
  </si>
  <si>
    <t>Listing Date:</t>
  </si>
  <si>
    <t>44-5370</t>
  </si>
  <si>
    <t>WAYNE</t>
  </si>
  <si>
    <t>NIELSON</t>
  </si>
  <si>
    <t>Mortgage Costs</t>
  </si>
  <si>
    <t>VA</t>
  </si>
  <si>
    <t>Property Tax</t>
  </si>
  <si>
    <t>1829 White Pine Lane, Dahlgren, VA, 22448</t>
  </si>
  <si>
    <t>WayneMNielson@aol.com</t>
  </si>
  <si>
    <t>Notes:</t>
  </si>
  <si>
    <t>Close to public park, walking distance to grocery store, town center and schools</t>
  </si>
  <si>
    <t>01-1254</t>
  </si>
  <si>
    <t>Utilities</t>
  </si>
  <si>
    <t>JOHN</t>
  </si>
  <si>
    <t>DEPAUL</t>
  </si>
  <si>
    <t>LA</t>
  </si>
  <si>
    <t>Insurance</t>
  </si>
  <si>
    <t>1165 Victoria Street, Baton Rouge, LA, 70815</t>
  </si>
  <si>
    <t>JohnDDepaul@gmail.com</t>
  </si>
  <si>
    <t>03-1343</t>
  </si>
  <si>
    <t>JOSEPH</t>
  </si>
  <si>
    <t>MARTINEZ</t>
  </si>
  <si>
    <t>OR</t>
  </si>
  <si>
    <t>3866 Mattson Street, Portland, OR, 97205</t>
  </si>
  <si>
    <t>JosephJMartinez@aol.com</t>
  </si>
  <si>
    <t>19-8581</t>
  </si>
  <si>
    <t>DIANE</t>
  </si>
  <si>
    <t>HENRY</t>
  </si>
  <si>
    <t>TX</t>
  </si>
  <si>
    <t>3902 Valley Lane, Austin, TX, 78749</t>
  </si>
  <si>
    <t>DianeKHenry@gmail.com</t>
  </si>
  <si>
    <t>86-7264</t>
  </si>
  <si>
    <t>VERONICA</t>
  </si>
  <si>
    <t>COMERFORD</t>
  </si>
  <si>
    <t>AL</t>
  </si>
  <si>
    <t>3932 Franklin Street, Tuskegee, AL, 36083</t>
  </si>
  <si>
    <t>VeronicaMComerford@gmail.com</t>
  </si>
  <si>
    <t>94-9897</t>
  </si>
  <si>
    <t>BEVERLY</t>
  </si>
  <si>
    <t>NIXON</t>
  </si>
  <si>
    <t>NY</t>
  </si>
  <si>
    <t>3480 Dancing Dove Lane, Long Island City, NY, 11101</t>
  </si>
  <si>
    <t>BeverlyDNixon@aol.com</t>
  </si>
  <si>
    <t>88-7922</t>
  </si>
  <si>
    <t>IVAN</t>
  </si>
  <si>
    <t>LAYTON</t>
  </si>
  <si>
    <t>211 Hardesty Street, Albany, NY, 12207</t>
  </si>
  <si>
    <t>IvanSLayton@gmail.com</t>
  </si>
  <si>
    <t>SHANNON</t>
  </si>
  <si>
    <t>FORD</t>
  </si>
  <si>
    <t>4430 Colonial Drive, Bryan, TX, 77803</t>
  </si>
  <si>
    <t>ShannonHFord@aol.com</t>
  </si>
  <si>
    <t>DEBRA</t>
  </si>
  <si>
    <t>PONCE</t>
  </si>
  <si>
    <t>4418 Sussex Court, Dallas, TX, 75247</t>
  </si>
  <si>
    <t>DebraFPonce@gmail.com</t>
  </si>
  <si>
    <t>74-7259</t>
  </si>
  <si>
    <t>MARGARET</t>
  </si>
  <si>
    <t>BRYNER</t>
  </si>
  <si>
    <t>RI</t>
  </si>
  <si>
    <t>738 Melm Street, Providence, RI, 2905</t>
  </si>
  <si>
    <t>MargaretRBryner@aol.com</t>
  </si>
  <si>
    <t>38-513</t>
  </si>
  <si>
    <t>BARBARA</t>
  </si>
  <si>
    <t>SMITH</t>
  </si>
  <si>
    <t>352 Lake Road, Egg Harbor, NJ, 8232</t>
  </si>
  <si>
    <t>BarbaraESmith@hotmail.com</t>
  </si>
  <si>
    <t>54-1895</t>
  </si>
  <si>
    <t>SUE</t>
  </si>
  <si>
    <t>GAY</t>
  </si>
  <si>
    <t>WI</t>
  </si>
  <si>
    <t>2680 Comfort Court, Cataract, WI, 54620</t>
  </si>
  <si>
    <t>SuePGay@aol.com</t>
  </si>
  <si>
    <t>26-218</t>
  </si>
  <si>
    <t>MARK</t>
  </si>
  <si>
    <t>FLORES</t>
  </si>
  <si>
    <t>MI</t>
  </si>
  <si>
    <t>42 Mount Street, Saginaw, MI, 48607</t>
  </si>
  <si>
    <t>MarkSFlores@aol.com</t>
  </si>
  <si>
    <t>80-239</t>
  </si>
  <si>
    <t>JULIE</t>
  </si>
  <si>
    <t>PURINGTON</t>
  </si>
  <si>
    <t>4953 Mahlon Street, Piscataway, NJ, 8854</t>
  </si>
  <si>
    <t>JulieBPurington@hotmail.com</t>
  </si>
  <si>
    <t>DEBBIE</t>
  </si>
  <si>
    <t>SCHULER</t>
  </si>
  <si>
    <t>TN</t>
  </si>
  <si>
    <t>673 Mapleview Drive, Bolivar, TN, 38008</t>
  </si>
  <si>
    <t>DebbieJSchuler@hotmail.com</t>
  </si>
  <si>
    <t>82-160</t>
  </si>
  <si>
    <t>GRACE</t>
  </si>
  <si>
    <t>RENNINGER</t>
  </si>
  <si>
    <t>2363 Oakmound Road, Chicago, IL, 60661</t>
  </si>
  <si>
    <t>GraceCRenninger@gmail.com</t>
  </si>
  <si>
    <t>50-939</t>
  </si>
  <si>
    <t>JAMES</t>
  </si>
  <si>
    <t>WEISS</t>
  </si>
  <si>
    <t>1278 Cemetery Street, Houston, TX, 77060</t>
  </si>
  <si>
    <t>JamesCWeiss@aol.com</t>
  </si>
  <si>
    <t>56-0787</t>
  </si>
  <si>
    <t>ADDIE</t>
  </si>
  <si>
    <t>STEVENSON</t>
  </si>
  <si>
    <t>336 Alpha Avenue</t>
  </si>
  <si>
    <t>Jacksonville</t>
  </si>
  <si>
    <t>FL</t>
  </si>
  <si>
    <t>336 Alpha Avenue, Jacksonville, FL, 32256</t>
  </si>
  <si>
    <t>AddieJStevenson@gmail.com</t>
  </si>
  <si>
    <t>904-248-2500</t>
  </si>
  <si>
    <t>29-5854</t>
  </si>
  <si>
    <t>PATRICK</t>
  </si>
  <si>
    <t>MCCURDY</t>
  </si>
  <si>
    <t>2166 North Avenue</t>
  </si>
  <si>
    <t>Kenesaw</t>
  </si>
  <si>
    <t>NE</t>
  </si>
  <si>
    <t>2166 North Avenue, Kenesaw, NE, 68956</t>
  </si>
  <si>
    <t>PatrickRMcCurdy@hotmail.com</t>
  </si>
  <si>
    <t>402-752-6280</t>
  </si>
  <si>
    <t>30-9019</t>
  </si>
  <si>
    <t>LAURA</t>
  </si>
  <si>
    <t>HAILEY</t>
  </si>
  <si>
    <t>3684 North Street</t>
  </si>
  <si>
    <t>Ephraim</t>
  </si>
  <si>
    <t>UT</t>
  </si>
  <si>
    <t>3684 North Street, Ephraim, UT, 84627</t>
  </si>
  <si>
    <t>LauraAHailey@aol.com</t>
  </si>
  <si>
    <t>435-283-1109</t>
  </si>
  <si>
    <t>44-701</t>
  </si>
  <si>
    <t>DANIEL</t>
  </si>
  <si>
    <t>GIRARD</t>
  </si>
  <si>
    <t>1678 Kelly Drive</t>
  </si>
  <si>
    <t>Shepherdstown</t>
  </si>
  <si>
    <t>WV</t>
  </si>
  <si>
    <t>1678 Kelly Drive, Shepherdstown, WV, 25443</t>
  </si>
  <si>
    <t>DanielMGirard@aol.com</t>
  </si>
  <si>
    <t>304-870-4512</t>
  </si>
  <si>
    <t>27-7333</t>
  </si>
  <si>
    <t>QUEEN</t>
  </si>
  <si>
    <t>WATSON</t>
  </si>
  <si>
    <t>1697 Fincham Road</t>
  </si>
  <si>
    <t>Los Angeles</t>
  </si>
  <si>
    <t>1697 Fincham Road, Los Angeles, CA, 90017</t>
  </si>
  <si>
    <t>QueenRWatson@gmail.com</t>
  </si>
  <si>
    <t>760-488-9781</t>
  </si>
  <si>
    <t>33-6756</t>
  </si>
  <si>
    <t>LISA</t>
  </si>
  <si>
    <t>TAYLOR</t>
  </si>
  <si>
    <t>3132 Deans Lane</t>
  </si>
  <si>
    <t>White Plains</t>
  </si>
  <si>
    <t>3132 Deans Lane, White Plains, NY, 10601</t>
  </si>
  <si>
    <t>LisaMTaylor@gmail.com</t>
  </si>
  <si>
    <t>914-890-1038</t>
  </si>
  <si>
    <t>76-754</t>
  </si>
  <si>
    <t>EFRAIN</t>
  </si>
  <si>
    <t>BARRICK</t>
  </si>
  <si>
    <t>3277 Elk Creek Road</t>
  </si>
  <si>
    <t>Dunwoody</t>
  </si>
  <si>
    <t>GA</t>
  </si>
  <si>
    <t>3277 Elk Creek Road, Dunwoody, GA, 30338</t>
  </si>
  <si>
    <t>EfrainDBarrick@aol.com</t>
  </si>
  <si>
    <t>770-522-8310</t>
  </si>
  <si>
    <t>09-855</t>
  </si>
  <si>
    <t>ROBERT</t>
  </si>
  <si>
    <t>SALADIN</t>
  </si>
  <si>
    <t>2840 Yorkshire Circle</t>
  </si>
  <si>
    <t>Wilson</t>
  </si>
  <si>
    <t>NC</t>
  </si>
  <si>
    <t>2840 Yorkshire Circle, Wilson, NC, 27893</t>
  </si>
  <si>
    <t>RobertZSaladin@aol.com</t>
  </si>
  <si>
    <t>252-296-0325</t>
  </si>
  <si>
    <t>95-2433</t>
  </si>
  <si>
    <t>CYNTHIA</t>
  </si>
  <si>
    <t>REYES</t>
  </si>
  <si>
    <t>4409 Kovar Road</t>
  </si>
  <si>
    <t>Easton</t>
  </si>
  <si>
    <t>MA</t>
  </si>
  <si>
    <t>4409 Kovar Road, Easton, MA, 2334</t>
  </si>
  <si>
    <t>CynthiaWReyes@hotmail.com</t>
  </si>
  <si>
    <t>508-565-7448</t>
  </si>
  <si>
    <t>PATRICIA</t>
  </si>
  <si>
    <t>ALDERETE</t>
  </si>
  <si>
    <t>3503 Hannah Street</t>
  </si>
  <si>
    <t>Charlotte</t>
  </si>
  <si>
    <t>3503 Hannah Street, Charlotte, NC, 28202</t>
  </si>
  <si>
    <t>PatriciaVAlderete@gmail.com</t>
  </si>
  <si>
    <t>828-426-4327</t>
  </si>
  <si>
    <t>CYRSTAL</t>
  </si>
  <si>
    <t>REID</t>
  </si>
  <si>
    <t>205 Red Dog Road</t>
  </si>
  <si>
    <t>205 Red Dog Road, Charlotte, NC, 28202</t>
  </si>
  <si>
    <t>CyrstalRReid@aol.com</t>
  </si>
  <si>
    <t>704-330-8800</t>
  </si>
  <si>
    <t>05-835</t>
  </si>
  <si>
    <t>JONATHAN</t>
  </si>
  <si>
    <t>TUBBS</t>
  </si>
  <si>
    <t>4339 Oakridge Lane</t>
  </si>
  <si>
    <t>4339 Oakridge Lane, Dallas, TX, 75207</t>
  </si>
  <si>
    <t>JonathanCTubbs@gmail.com</t>
  </si>
  <si>
    <t>469-916-2924</t>
  </si>
  <si>
    <t>50-436</t>
  </si>
  <si>
    <t>123-456 | 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</si>
</sst>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&quot;$&quot;#,##0"/>
    <numFmt numFmtId="166" formatCode="&quot;$&quot;#,##0.00"/>
    <numFmt numFmtId="167" formatCode="mm-dd-yy"/>
    <numFmt numFmtId="168" formatCode="mm-yyyy"/>
    <numFmt numFmtId="169" formatCode="m-yyyy"/>
  </numFmts>
  <fonts count="20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b/>
      <sz val="9.0"/>
      <color theme="1"/>
      <name val="Calibri"/>
    </font>
    <font>
      <b/>
      <sz val="11.0"/>
      <color rgb="FFFFFFFF"/>
      <name val="Calibri"/>
    </font>
    <font/>
    <font>
      <b/>
      <sz val="8.0"/>
      <color theme="1"/>
      <name val="Calibri"/>
    </font>
    <font>
      <b/>
      <sz val="11.0"/>
      <color rgb="FF3A3838"/>
      <name val="Calibri"/>
    </font>
    <font>
      <b/>
      <sz val="11.0"/>
      <color theme="1"/>
      <name val="Calibri"/>
    </font>
    <font>
      <b/>
      <i/>
      <sz val="12.0"/>
      <color rgb="FF3A3838"/>
      <name val="Calibri"/>
    </font>
    <font>
      <color theme="1"/>
      <name val="Calibri"/>
    </font>
    <font>
      <i/>
      <color rgb="FF000000"/>
      <name val="Calibri"/>
    </font>
    <font>
      <b/>
      <sz val="22.0"/>
      <color rgb="FF3A3838"/>
      <name val="Calibri"/>
    </font>
    <font>
      <b/>
      <i/>
      <sz val="12.0"/>
      <color rgb="FF000000"/>
      <name val="Calibri"/>
    </font>
    <font>
      <b/>
      <color rgb="FF3A3838"/>
      <name val="Calibri"/>
    </font>
    <font>
      <b/>
      <i/>
      <sz val="8.0"/>
      <color rgb="FF000000"/>
      <name val="Calibri"/>
    </font>
    <font>
      <i/>
      <sz val="8.0"/>
      <color rgb="FF000000"/>
      <name val="Calibri"/>
    </font>
    <font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17451E"/>
        <bgColor rgb="FF17451E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E2EFD9"/>
        <bgColor rgb="FFE2EFD9"/>
      </patternFill>
    </fill>
    <fill>
      <patternFill patternType="solid">
        <fgColor rgb="FFDDEBF7"/>
        <bgColor rgb="FFDDEBF7"/>
      </patternFill>
    </fill>
    <fill>
      <patternFill patternType="solid">
        <fgColor rgb="FFE7E6E6"/>
        <bgColor rgb="FFE7E6E6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17">
    <border/>
    <border>
      <left style="medium">
        <color theme="0"/>
      </left>
      <top style="medium">
        <color theme="0"/>
      </top>
      <bottom style="medium">
        <color theme="0"/>
      </bottom>
    </border>
    <border>
      <top style="medium">
        <color theme="0"/>
      </top>
      <bottom style="medium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bottom style="medium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shrinkToFit="0" vertical="bottom" wrapText="1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5" numFmtId="3" xfId="0" applyAlignment="1" applyFont="1" applyNumberFormat="1">
      <alignment horizontal="center" shrinkToFit="0" vertical="bottom" wrapText="1"/>
    </xf>
    <xf borderId="1" fillId="3" fontId="6" numFmtId="0" xfId="0" applyAlignment="1" applyBorder="1" applyFill="1" applyFont="1">
      <alignment horizontal="center"/>
    </xf>
    <xf borderId="0" fillId="4" fontId="4" numFmtId="0" xfId="0" applyAlignment="1" applyFill="1" applyFont="1">
      <alignment horizontal="left" shrinkToFit="0" vertical="bottom" wrapText="0"/>
    </xf>
    <xf borderId="2" fillId="0" fontId="7" numFmtId="0" xfId="0" applyBorder="1" applyFont="1"/>
    <xf borderId="0" fillId="0" fontId="4" numFmtId="0" xfId="0" applyAlignment="1" applyFont="1">
      <alignment shrinkToFit="0" vertical="bottom" wrapText="0"/>
    </xf>
    <xf borderId="3" fillId="0" fontId="7" numFmtId="0" xfId="0" applyBorder="1" applyFont="1"/>
    <xf borderId="0" fillId="4" fontId="4" numFmtId="0" xfId="0" applyAlignment="1" applyFont="1">
      <alignment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4" fillId="0" fontId="7" numFmtId="0" xfId="0" applyBorder="1" applyFont="1"/>
    <xf borderId="5" fillId="6" fontId="8" numFmtId="0" xfId="0" applyAlignment="1" applyBorder="1" applyFill="1" applyFont="1">
      <alignment horizontal="center"/>
    </xf>
    <xf borderId="0" fillId="7" fontId="1" numFmtId="0" xfId="0" applyAlignment="1" applyFill="1" applyFont="1">
      <alignment readingOrder="0" shrinkToFit="0" vertical="bottom" wrapText="0"/>
    </xf>
    <xf borderId="6" fillId="7" fontId="9" numFmtId="0" xfId="0" applyAlignment="1" applyBorder="1" applyFont="1">
      <alignment horizontal="center" readingOrder="0" shrinkToFit="0" wrapText="0"/>
    </xf>
    <xf borderId="0" fillId="2" fontId="1" numFmtId="3" xfId="0" applyAlignment="1" applyFont="1" applyNumberFormat="1">
      <alignment readingOrder="0" shrinkToFit="0" vertical="bottom" wrapText="0"/>
    </xf>
    <xf borderId="7" fillId="0" fontId="7" numFmtId="0" xfId="0" applyBorder="1" applyFont="1"/>
    <xf borderId="0" fillId="2" fontId="1" numFmtId="49" xfId="0" applyAlignment="1" applyFont="1" applyNumberFormat="1">
      <alignment readingOrder="0" shrinkToFit="0" vertical="bottom" wrapText="0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readingOrder="0" shrinkToFit="0" vertical="bottom" wrapText="0"/>
    </xf>
    <xf borderId="5" fillId="8" fontId="12" numFmtId="9" xfId="0" applyAlignment="1" applyBorder="1" applyFill="1" applyFont="1" applyNumberFormat="1">
      <alignment horizontal="center" vertical="bottom"/>
    </xf>
    <xf borderId="5" fillId="8" fontId="12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/>
    </xf>
    <xf borderId="5" fillId="4" fontId="12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8" fillId="4" fontId="1" numFmtId="165" xfId="0" applyAlignment="1" applyBorder="1" applyFont="1" applyNumberFormat="1">
      <alignment horizontal="center" readingOrder="0" shrinkToFit="0" vertical="bottom" wrapText="0"/>
    </xf>
    <xf borderId="0" fillId="5" fontId="4" numFmtId="0" xfId="0" applyAlignment="1" applyFont="1">
      <alignment readingOrder="0" shrinkToFit="0" vertical="bottom" wrapText="0"/>
    </xf>
    <xf borderId="0" fillId="5" fontId="14" numFmtId="165" xfId="0" applyAlignment="1" applyFont="1" applyNumberFormat="1">
      <alignment horizontal="center" readingOrder="0" shrinkToFit="0" wrapText="0"/>
    </xf>
    <xf borderId="8" fillId="4" fontId="1" numFmtId="166" xfId="0" applyAlignment="1" applyBorder="1" applyFont="1" applyNumberFormat="1">
      <alignment horizontal="center" readingOrder="0" shrinkToFit="0" vertical="bottom" wrapText="0"/>
    </xf>
    <xf borderId="0" fillId="2" fontId="4" numFmtId="49" xfId="0" applyAlignment="1" applyFont="1" applyNumberFormat="1">
      <alignment readingOrder="0" shrinkToFit="0" vertical="bottom" wrapText="0"/>
    </xf>
    <xf borderId="0" fillId="9" fontId="4" numFmtId="0" xfId="0" applyAlignment="1" applyFill="1" applyFont="1">
      <alignment readingOrder="0" shrinkToFit="0" vertical="bottom" wrapText="0"/>
    </xf>
    <xf borderId="0" fillId="7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8" fillId="4" fontId="1" numFmtId="9" xfId="0" applyAlignment="1" applyBorder="1" applyFont="1" applyNumberFormat="1">
      <alignment horizontal="center" readingOrder="0" shrinkToFit="0" vertical="bottom" wrapText="0"/>
    </xf>
    <xf borderId="0" fillId="10" fontId="4" numFmtId="0" xfId="0" applyAlignment="1" applyFill="1" applyFont="1">
      <alignment readingOrder="0" shrinkToFit="0" vertical="bottom" wrapText="0"/>
    </xf>
    <xf borderId="0" fillId="11" fontId="4" numFmtId="0" xfId="0" applyAlignment="1" applyFill="1" applyFont="1">
      <alignment readingOrder="0" shrinkToFit="0" vertical="bottom" wrapText="0"/>
    </xf>
    <xf borderId="8" fillId="4" fontId="1" numFmtId="10" xfId="0" applyAlignment="1" applyBorder="1" applyFont="1" applyNumberFormat="1">
      <alignment horizontal="center" readingOrder="0" shrinkToFit="0" vertical="bottom" wrapText="0"/>
    </xf>
    <xf borderId="0" fillId="12" fontId="4" numFmtId="0" xfId="0" applyAlignment="1" applyFill="1" applyFont="1">
      <alignment readingOrder="0" shrinkToFit="0" vertical="bottom" wrapText="0"/>
    </xf>
    <xf borderId="0" fillId="0" fontId="2" numFmtId="165" xfId="0" applyAlignment="1" applyFont="1" applyNumberFormat="1">
      <alignment vertical="bottom"/>
    </xf>
    <xf borderId="0" fillId="0" fontId="15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vertical="bottom"/>
    </xf>
    <xf borderId="0" fillId="13" fontId="4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8" fillId="4" fontId="1" numFmtId="0" xfId="0" applyAlignment="1" applyBorder="1" applyFont="1">
      <alignment horizontal="center" readingOrder="0" shrinkToFit="0" vertical="bottom" wrapText="0"/>
    </xf>
    <xf borderId="0" fillId="14" fontId="4" numFmtId="0" xfId="0" applyAlignment="1" applyFill="1" applyFont="1">
      <alignment horizontal="center" readingOrder="0" shrinkToFit="0" vertical="bottom" wrapText="0"/>
    </xf>
    <xf borderId="0" fillId="2" fontId="16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17" numFmtId="0" xfId="0" applyAlignment="1" applyFont="1">
      <alignment horizontal="right" readingOrder="0" shrinkToFit="0" vertical="bottom" wrapText="0"/>
    </xf>
    <xf borderId="9" fillId="4" fontId="18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8" fillId="4" fontId="18" numFmtId="0" xfId="0" applyAlignment="1" applyBorder="1" applyFont="1">
      <alignment horizontal="center" readingOrder="0" shrinkToFit="0" vertical="bottom" wrapText="0"/>
    </xf>
    <xf borderId="8" fillId="4" fontId="18" numFmtId="167" xfId="0" applyAlignment="1" applyBorder="1" applyFont="1" applyNumberFormat="1">
      <alignment horizontal="center" readingOrder="0" shrinkToFit="0" vertical="bottom" wrapText="0"/>
    </xf>
    <xf borderId="0" fillId="0" fontId="17" numFmtId="0" xfId="0" applyAlignment="1" applyFont="1">
      <alignment horizontal="right" shrinkToFit="0" vertical="bottom" wrapText="0"/>
    </xf>
    <xf borderId="10" fillId="0" fontId="18" numFmtId="0" xfId="0" applyAlignment="1" applyBorder="1" applyFont="1">
      <alignment horizontal="center" shrinkToFit="0" vertical="bottom" wrapText="0"/>
    </xf>
    <xf borderId="0" fillId="0" fontId="17" numFmtId="0" xfId="0" applyAlignment="1" applyFont="1">
      <alignment horizontal="right" readingOrder="0" shrinkToFit="0" wrapText="0"/>
    </xf>
    <xf borderId="11" fillId="4" fontId="18" numFmtId="0" xfId="0" applyAlignment="1" applyBorder="1" applyFont="1">
      <alignment horizontal="center" readingOrder="0"/>
    </xf>
    <xf borderId="12" fillId="0" fontId="7" numFmtId="0" xfId="0" applyBorder="1" applyFont="1"/>
    <xf borderId="0" fillId="0" fontId="4" numFmtId="168" xfId="0" applyAlignment="1" applyFont="1" applyNumberFormat="1">
      <alignment horizontal="center" readingOrder="0" shrinkToFit="0" vertical="bottom" wrapText="0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0" fillId="0" fontId="18" numFmtId="0" xfId="0" applyFont="1"/>
    <xf borderId="0" fillId="0" fontId="13" numFmtId="0" xfId="0" applyAlignment="1" applyFont="1">
      <alignment horizontal="right" shrinkToFit="0" vertical="bottom" wrapText="0"/>
    </xf>
    <xf borderId="8" fillId="0" fontId="1" numFmtId="0" xfId="0" applyAlignment="1" applyBorder="1" applyFont="1">
      <alignment horizontal="center" shrinkToFit="0" vertical="bottom" wrapText="0"/>
    </xf>
    <xf borderId="0" fillId="0" fontId="4" numFmtId="169" xfId="0" applyAlignment="1" applyFont="1" applyNumberFormat="1">
      <alignment horizontal="center" readingOrder="0" shrinkToFit="0" vertical="bottom" wrapText="0"/>
    </xf>
    <xf borderId="0" fillId="0" fontId="19" numFmtId="0" xfId="0" applyFont="1"/>
    <xf borderId="0" fillId="0" fontId="3" numFmtId="3" xfId="0" applyFont="1" applyNumberForma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1</xdr:row>
      <xdr:rowOff>28575</xdr:rowOff>
    </xdr:from>
    <xdr:ext cx="2447925" cy="16383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8.25"/>
    <col customWidth="1" min="10" max="1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>
      <c r="A2" s="5" t="s">
        <v>11</v>
      </c>
      <c r="B2" s="5" t="s">
        <v>12</v>
      </c>
      <c r="C2" s="5" t="s">
        <v>13</v>
      </c>
      <c r="D2" s="5">
        <v>62031.0</v>
      </c>
      <c r="E2" s="7">
        <f>DATE(2024,1,1)</f>
        <v>45292</v>
      </c>
      <c r="F2" s="10">
        <f t="shared" ref="F2:F21" si="1">YEAR(E2)</f>
        <v>2024</v>
      </c>
      <c r="G2" s="5" t="s">
        <v>17</v>
      </c>
      <c r="H2" s="14"/>
      <c r="I2" s="5" t="s">
        <v>20</v>
      </c>
      <c r="J2" s="14"/>
      <c r="K2" s="4" t="s">
        <v>21</v>
      </c>
    </row>
    <row r="3">
      <c r="A3" s="5" t="s">
        <v>22</v>
      </c>
      <c r="B3" s="5" t="s">
        <v>23</v>
      </c>
      <c r="C3" s="5" t="s">
        <v>24</v>
      </c>
      <c r="D3" s="5">
        <v>95936.0</v>
      </c>
      <c r="E3" s="7">
        <f t="shared" ref="E3:E21" si="2">E2+31</f>
        <v>45323</v>
      </c>
      <c r="F3" s="10">
        <f t="shared" si="1"/>
        <v>2024</v>
      </c>
      <c r="G3" s="5" t="s">
        <v>28</v>
      </c>
      <c r="H3" s="14"/>
      <c r="I3" s="5" t="s">
        <v>30</v>
      </c>
      <c r="J3" s="14"/>
    </row>
    <row r="4">
      <c r="A4" s="5" t="s">
        <v>32</v>
      </c>
      <c r="B4" s="5" t="s">
        <v>33</v>
      </c>
      <c r="C4" s="5" t="s">
        <v>35</v>
      </c>
      <c r="D4" s="5">
        <v>7040.0</v>
      </c>
      <c r="E4" s="7">
        <f t="shared" si="2"/>
        <v>45354</v>
      </c>
      <c r="F4" s="10">
        <f t="shared" si="1"/>
        <v>2024</v>
      </c>
      <c r="G4" s="5" t="s">
        <v>40</v>
      </c>
      <c r="H4" s="14"/>
      <c r="I4" s="5" t="s">
        <v>41</v>
      </c>
      <c r="J4" s="14"/>
    </row>
    <row r="5">
      <c r="A5" s="5" t="s">
        <v>45</v>
      </c>
      <c r="B5" s="5" t="s">
        <v>46</v>
      </c>
      <c r="C5" s="5" t="s">
        <v>48</v>
      </c>
      <c r="D5" s="5">
        <v>22448.0</v>
      </c>
      <c r="E5" s="7">
        <f t="shared" si="2"/>
        <v>45385</v>
      </c>
      <c r="F5" s="10">
        <f t="shared" si="1"/>
        <v>2024</v>
      </c>
      <c r="G5" s="5" t="s">
        <v>54</v>
      </c>
      <c r="H5" s="14"/>
      <c r="I5" s="5" t="s">
        <v>55</v>
      </c>
      <c r="J5" s="14"/>
      <c r="K5" s="4" t="s">
        <v>56</v>
      </c>
    </row>
    <row r="6">
      <c r="A6" s="5" t="s">
        <v>59</v>
      </c>
      <c r="B6" s="5" t="s">
        <v>60</v>
      </c>
      <c r="C6" s="5" t="s">
        <v>61</v>
      </c>
      <c r="D6" s="5">
        <v>70815.0</v>
      </c>
      <c r="E6" s="7">
        <f t="shared" si="2"/>
        <v>45416</v>
      </c>
      <c r="F6" s="10">
        <f t="shared" si="1"/>
        <v>2024</v>
      </c>
      <c r="G6" s="5" t="s">
        <v>63</v>
      </c>
      <c r="H6" s="14"/>
      <c r="I6" s="5" t="s">
        <v>65</v>
      </c>
      <c r="J6" s="14"/>
      <c r="L6" s="27"/>
    </row>
    <row r="7">
      <c r="A7" s="5" t="s">
        <v>66</v>
      </c>
      <c r="B7" s="5" t="s">
        <v>67</v>
      </c>
      <c r="C7" s="5" t="s">
        <v>68</v>
      </c>
      <c r="D7" s="5">
        <v>97205.0</v>
      </c>
      <c r="E7" s="7">
        <f t="shared" si="2"/>
        <v>45447</v>
      </c>
      <c r="F7" s="10">
        <f t="shared" si="1"/>
        <v>2024</v>
      </c>
      <c r="G7" s="5" t="s">
        <v>70</v>
      </c>
      <c r="H7" s="14"/>
      <c r="I7" s="5" t="s">
        <v>71</v>
      </c>
      <c r="J7" s="14"/>
    </row>
    <row r="8">
      <c r="A8" s="5" t="s">
        <v>74</v>
      </c>
      <c r="B8" s="5" t="s">
        <v>75</v>
      </c>
      <c r="C8" s="5" t="s">
        <v>77</v>
      </c>
      <c r="D8" s="5">
        <v>78749.0</v>
      </c>
      <c r="E8" s="7">
        <f t="shared" si="2"/>
        <v>45478</v>
      </c>
      <c r="F8" s="10">
        <f t="shared" si="1"/>
        <v>2024</v>
      </c>
      <c r="G8" s="5" t="s">
        <v>79</v>
      </c>
      <c r="H8" s="14"/>
      <c r="I8" s="5" t="s">
        <v>81</v>
      </c>
      <c r="J8" s="14"/>
    </row>
    <row r="9">
      <c r="A9" s="5" t="s">
        <v>82</v>
      </c>
      <c r="B9" s="5" t="s">
        <v>84</v>
      </c>
      <c r="C9" s="5" t="s">
        <v>85</v>
      </c>
      <c r="D9" s="5">
        <v>36083.0</v>
      </c>
      <c r="E9" s="7">
        <f t="shared" si="2"/>
        <v>45509</v>
      </c>
      <c r="F9" s="10">
        <f t="shared" si="1"/>
        <v>2024</v>
      </c>
      <c r="G9" s="5" t="s">
        <v>87</v>
      </c>
      <c r="H9" s="14"/>
      <c r="I9" s="5" t="s">
        <v>88</v>
      </c>
      <c r="J9" s="14"/>
    </row>
    <row r="10">
      <c r="A10" s="5" t="s">
        <v>89</v>
      </c>
      <c r="B10" s="5" t="s">
        <v>90</v>
      </c>
      <c r="C10" s="5" t="s">
        <v>91</v>
      </c>
      <c r="D10" s="5">
        <v>11101.0</v>
      </c>
      <c r="E10" s="7">
        <f t="shared" si="2"/>
        <v>45540</v>
      </c>
      <c r="F10" s="10">
        <f t="shared" si="1"/>
        <v>2024</v>
      </c>
      <c r="G10" s="5" t="s">
        <v>93</v>
      </c>
      <c r="H10" s="14"/>
      <c r="I10" s="5" t="s">
        <v>94</v>
      </c>
      <c r="J10" s="14"/>
    </row>
    <row r="11">
      <c r="A11" s="5" t="s">
        <v>96</v>
      </c>
      <c r="B11" s="5" t="s">
        <v>97</v>
      </c>
      <c r="C11" s="5" t="s">
        <v>99</v>
      </c>
      <c r="D11" s="5">
        <v>12207.0</v>
      </c>
      <c r="E11" s="7">
        <f t="shared" si="2"/>
        <v>45571</v>
      </c>
      <c r="F11" s="10">
        <f t="shared" si="1"/>
        <v>2024</v>
      </c>
      <c r="G11" s="5" t="s">
        <v>101</v>
      </c>
      <c r="H11" s="14"/>
      <c r="I11" s="5" t="s">
        <v>102</v>
      </c>
      <c r="J11" s="14"/>
    </row>
    <row r="12">
      <c r="A12" s="5" t="s">
        <v>103</v>
      </c>
      <c r="B12" s="5" t="s">
        <v>104</v>
      </c>
      <c r="C12" s="5" t="s">
        <v>105</v>
      </c>
      <c r="D12" s="5">
        <v>77803.0</v>
      </c>
      <c r="E12" s="7">
        <f t="shared" si="2"/>
        <v>45602</v>
      </c>
      <c r="F12" s="10">
        <f t="shared" si="1"/>
        <v>2024</v>
      </c>
      <c r="G12" s="5" t="s">
        <v>107</v>
      </c>
      <c r="H12" s="14"/>
      <c r="I12" s="5" t="s">
        <v>109</v>
      </c>
      <c r="J12" s="14"/>
    </row>
    <row r="13">
      <c r="A13" s="5" t="s">
        <v>110</v>
      </c>
      <c r="B13" s="5" t="s">
        <v>112</v>
      </c>
      <c r="C13" s="5" t="s">
        <v>113</v>
      </c>
      <c r="D13" s="5">
        <v>75247.0</v>
      </c>
      <c r="E13" s="7">
        <f t="shared" si="2"/>
        <v>45633</v>
      </c>
      <c r="F13" s="10">
        <f t="shared" si="1"/>
        <v>2024</v>
      </c>
      <c r="G13" s="5" t="s">
        <v>115</v>
      </c>
      <c r="H13" s="14"/>
      <c r="I13" s="5" t="s">
        <v>116</v>
      </c>
      <c r="J13" s="14"/>
    </row>
    <row r="14">
      <c r="A14" s="5" t="s">
        <v>117</v>
      </c>
      <c r="B14" s="5" t="s">
        <v>118</v>
      </c>
      <c r="C14" s="5" t="s">
        <v>120</v>
      </c>
      <c r="D14" s="5">
        <v>2905.0</v>
      </c>
      <c r="E14" s="7">
        <f t="shared" si="2"/>
        <v>45664</v>
      </c>
      <c r="F14" s="10">
        <f t="shared" si="1"/>
        <v>2025</v>
      </c>
      <c r="G14" s="5" t="s">
        <v>121</v>
      </c>
      <c r="H14" s="14"/>
      <c r="I14" s="5" t="s">
        <v>122</v>
      </c>
      <c r="J14" s="14"/>
    </row>
    <row r="15">
      <c r="A15" s="5" t="s">
        <v>123</v>
      </c>
      <c r="B15" s="5" t="s">
        <v>124</v>
      </c>
      <c r="C15" s="5" t="s">
        <v>125</v>
      </c>
      <c r="D15" s="5">
        <v>8232.0</v>
      </c>
      <c r="E15" s="7">
        <f t="shared" si="2"/>
        <v>45695</v>
      </c>
      <c r="F15" s="10">
        <f t="shared" si="1"/>
        <v>2025</v>
      </c>
      <c r="G15" s="5" t="s">
        <v>126</v>
      </c>
      <c r="H15" s="14"/>
      <c r="I15" s="5" t="s">
        <v>128</v>
      </c>
      <c r="J15" s="14"/>
    </row>
    <row r="16">
      <c r="A16" s="5" t="s">
        <v>129</v>
      </c>
      <c r="B16" s="5" t="s">
        <v>130</v>
      </c>
      <c r="C16" s="5" t="s">
        <v>131</v>
      </c>
      <c r="D16" s="5">
        <v>54620.0</v>
      </c>
      <c r="E16" s="7">
        <f t="shared" si="2"/>
        <v>45726</v>
      </c>
      <c r="F16" s="10">
        <f t="shared" si="1"/>
        <v>2025</v>
      </c>
      <c r="G16" s="5" t="s">
        <v>132</v>
      </c>
      <c r="H16" s="14"/>
      <c r="I16" s="5" t="s">
        <v>133</v>
      </c>
      <c r="J16" s="14"/>
    </row>
    <row r="17">
      <c r="A17" s="5" t="s">
        <v>134</v>
      </c>
      <c r="B17" s="5" t="s">
        <v>135</v>
      </c>
      <c r="C17" s="5" t="s">
        <v>136</v>
      </c>
      <c r="D17" s="5">
        <v>48607.0</v>
      </c>
      <c r="E17" s="7">
        <f t="shared" si="2"/>
        <v>45757</v>
      </c>
      <c r="F17" s="10">
        <f t="shared" si="1"/>
        <v>2025</v>
      </c>
      <c r="G17" s="5" t="s">
        <v>137</v>
      </c>
      <c r="H17" s="14"/>
      <c r="I17" s="5" t="s">
        <v>139</v>
      </c>
      <c r="J17" s="14"/>
    </row>
    <row r="18">
      <c r="A18" s="5" t="s">
        <v>140</v>
      </c>
      <c r="B18" s="5" t="s">
        <v>141</v>
      </c>
      <c r="C18" s="5" t="s">
        <v>142</v>
      </c>
      <c r="D18" s="5">
        <v>8854.0</v>
      </c>
      <c r="E18" s="7">
        <f t="shared" si="2"/>
        <v>45788</v>
      </c>
      <c r="F18" s="10">
        <f t="shared" si="1"/>
        <v>2025</v>
      </c>
      <c r="G18" s="5" t="s">
        <v>143</v>
      </c>
      <c r="H18" s="14"/>
      <c r="I18" s="5" t="s">
        <v>144</v>
      </c>
      <c r="J18" s="14"/>
    </row>
    <row r="19">
      <c r="A19" s="5" t="s">
        <v>146</v>
      </c>
      <c r="B19" s="5" t="s">
        <v>147</v>
      </c>
      <c r="C19" s="5" t="s">
        <v>148</v>
      </c>
      <c r="D19" s="5">
        <v>38008.0</v>
      </c>
      <c r="E19" s="7">
        <f t="shared" si="2"/>
        <v>45819</v>
      </c>
      <c r="F19" s="10">
        <f t="shared" si="1"/>
        <v>2025</v>
      </c>
      <c r="G19" s="5" t="s">
        <v>150</v>
      </c>
      <c r="H19" s="14"/>
      <c r="I19" s="5" t="s">
        <v>151</v>
      </c>
      <c r="J19" s="14"/>
    </row>
    <row r="20">
      <c r="A20" s="5" t="s">
        <v>152</v>
      </c>
      <c r="B20" s="5" t="s">
        <v>153</v>
      </c>
      <c r="C20" s="5" t="s">
        <v>154</v>
      </c>
      <c r="D20" s="5">
        <v>60661.0</v>
      </c>
      <c r="E20" s="7">
        <f t="shared" si="2"/>
        <v>45850</v>
      </c>
      <c r="F20" s="10">
        <f t="shared" si="1"/>
        <v>2025</v>
      </c>
      <c r="G20" s="5" t="s">
        <v>157</v>
      </c>
      <c r="H20" s="14"/>
      <c r="I20" s="5" t="s">
        <v>158</v>
      </c>
      <c r="J20" s="14"/>
    </row>
    <row r="21">
      <c r="A21" s="5" t="s">
        <v>159</v>
      </c>
      <c r="B21" s="5" t="s">
        <v>160</v>
      </c>
      <c r="C21" s="5" t="s">
        <v>161</v>
      </c>
      <c r="D21" s="5">
        <v>77060.0</v>
      </c>
      <c r="E21" s="7">
        <f t="shared" si="2"/>
        <v>45881</v>
      </c>
      <c r="F21" s="10">
        <f t="shared" si="1"/>
        <v>2025</v>
      </c>
      <c r="G21" s="5" t="s">
        <v>162</v>
      </c>
      <c r="H21" s="14"/>
      <c r="I21" s="5" t="s">
        <v>164</v>
      </c>
      <c r="J21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75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>
      <c r="A2" s="12"/>
      <c r="B2" s="12"/>
      <c r="F2" s="12"/>
      <c r="G2" s="19" t="s">
        <v>44</v>
      </c>
      <c r="H2" s="21"/>
      <c r="I2" s="12"/>
      <c r="J2" s="24" t="s">
        <v>57</v>
      </c>
      <c r="L2" s="12"/>
      <c r="M2" s="12"/>
      <c r="N2" s="29">
        <v>10.0</v>
      </c>
    </row>
    <row r="3">
      <c r="A3" s="12"/>
      <c r="F3" s="12"/>
      <c r="G3" s="30" t="s">
        <v>73</v>
      </c>
      <c r="H3" s="32">
        <v>499000.0</v>
      </c>
      <c r="I3" s="12"/>
      <c r="J3" s="34"/>
      <c r="L3" s="12"/>
      <c r="M3" s="12"/>
      <c r="N3" s="29">
        <v>15.0</v>
      </c>
    </row>
    <row r="4">
      <c r="A4" s="12"/>
      <c r="F4" s="12"/>
      <c r="G4" s="30" t="s">
        <v>98</v>
      </c>
      <c r="H4" s="35">
        <v>9.5</v>
      </c>
      <c r="I4" s="12"/>
      <c r="L4" s="12"/>
      <c r="M4" s="12"/>
      <c r="N4" s="29">
        <v>30.0</v>
      </c>
    </row>
    <row r="5">
      <c r="A5" s="12"/>
      <c r="F5" s="12"/>
      <c r="G5" s="12"/>
      <c r="H5" s="12"/>
      <c r="I5" s="12"/>
      <c r="L5" s="12"/>
      <c r="M5" s="12"/>
      <c r="N5" s="12"/>
    </row>
    <row r="6">
      <c r="A6" s="12"/>
      <c r="F6" s="12"/>
      <c r="G6" s="19" t="s">
        <v>119</v>
      </c>
      <c r="H6" s="21"/>
      <c r="I6" s="12"/>
      <c r="J6" s="39"/>
      <c r="L6" s="12"/>
      <c r="M6" s="12"/>
      <c r="N6" s="12"/>
    </row>
    <row r="7">
      <c r="A7" s="12"/>
      <c r="F7" s="12"/>
      <c r="G7" s="30" t="s">
        <v>127</v>
      </c>
      <c r="H7" s="40">
        <v>0.2</v>
      </c>
      <c r="I7" s="12"/>
      <c r="J7" s="12"/>
      <c r="K7" s="12"/>
      <c r="L7" s="12"/>
      <c r="M7" s="12"/>
      <c r="N7" s="12"/>
    </row>
    <row r="8">
      <c r="A8" s="12"/>
      <c r="F8" s="12"/>
      <c r="G8" s="30" t="s">
        <v>138</v>
      </c>
      <c r="H8" s="43">
        <v>0.045</v>
      </c>
      <c r="I8" s="12"/>
      <c r="J8" s="46" t="s">
        <v>149</v>
      </c>
      <c r="L8" s="12"/>
      <c r="M8" s="12"/>
      <c r="N8" s="12"/>
    </row>
    <row r="9">
      <c r="A9" s="12"/>
      <c r="F9" s="12"/>
      <c r="G9" s="30" t="s">
        <v>155</v>
      </c>
      <c r="H9" s="50"/>
      <c r="I9" s="12"/>
      <c r="J9" s="34"/>
      <c r="L9" s="12"/>
      <c r="M9" s="12"/>
      <c r="N9" s="12"/>
    </row>
    <row r="10">
      <c r="A10" s="12"/>
      <c r="B10" s="52" t="s">
        <v>166</v>
      </c>
      <c r="F10" s="12"/>
      <c r="G10" s="30" t="s">
        <v>167</v>
      </c>
      <c r="H10" s="32">
        <v>399200.0</v>
      </c>
      <c r="I10" s="12"/>
      <c r="L10" s="12"/>
      <c r="M10" s="12"/>
      <c r="N10" s="12"/>
    </row>
    <row r="11">
      <c r="A11" s="12"/>
      <c r="B11" s="12"/>
      <c r="C11" s="12"/>
      <c r="D11" s="12"/>
      <c r="E11" s="12"/>
      <c r="F11" s="12"/>
      <c r="G11" s="30" t="s">
        <v>169</v>
      </c>
      <c r="H11" s="32">
        <v>9980.0</v>
      </c>
      <c r="I11" s="12"/>
      <c r="L11" s="12"/>
      <c r="M11" s="12"/>
      <c r="N11" s="12"/>
    </row>
    <row r="12">
      <c r="A12" s="12"/>
      <c r="B12" s="54" t="s">
        <v>171</v>
      </c>
      <c r="C12" s="55" t="s">
        <v>174</v>
      </c>
      <c r="D12" s="54" t="s">
        <v>175</v>
      </c>
      <c r="E12" s="55">
        <v>90210.0</v>
      </c>
      <c r="F12" s="12"/>
      <c r="G12" s="12"/>
      <c r="H12" s="56"/>
      <c r="I12" s="12"/>
      <c r="J12" s="12"/>
      <c r="K12" s="12"/>
      <c r="L12" s="12"/>
      <c r="M12" s="12"/>
      <c r="N12" s="12"/>
    </row>
    <row r="13">
      <c r="A13" s="12"/>
      <c r="B13" s="54" t="s">
        <v>178</v>
      </c>
      <c r="C13" s="57">
        <v>7.2393006E7</v>
      </c>
      <c r="D13" s="54" t="s">
        <v>180</v>
      </c>
      <c r="E13" s="57">
        <v>2015.0</v>
      </c>
      <c r="F13" s="12"/>
      <c r="G13" s="19" t="s">
        <v>181</v>
      </c>
      <c r="H13" s="21"/>
      <c r="I13" s="12"/>
      <c r="J13" s="12"/>
      <c r="K13" s="12"/>
      <c r="L13" s="12"/>
      <c r="M13" s="12"/>
      <c r="N13" s="12"/>
    </row>
    <row r="14">
      <c r="A14" s="12"/>
      <c r="B14" s="54" t="s">
        <v>185</v>
      </c>
      <c r="C14" s="57" t="s">
        <v>186</v>
      </c>
      <c r="D14" s="54" t="s">
        <v>187</v>
      </c>
      <c r="E14" s="58">
        <v>43466.0</v>
      </c>
      <c r="F14" s="12"/>
      <c r="G14" s="30" t="s">
        <v>191</v>
      </c>
      <c r="H14" s="32">
        <v>2023.0</v>
      </c>
      <c r="I14" s="12"/>
      <c r="J14" s="24" t="s">
        <v>57</v>
      </c>
      <c r="L14" s="12"/>
      <c r="M14" s="12"/>
      <c r="N14" s="12"/>
    </row>
    <row r="15">
      <c r="A15" s="12"/>
      <c r="B15" s="59"/>
      <c r="C15" s="60"/>
      <c r="D15" s="59"/>
      <c r="E15" s="60"/>
      <c r="F15" s="12"/>
      <c r="G15" s="30" t="s">
        <v>193</v>
      </c>
      <c r="H15" s="32">
        <v>395.0</v>
      </c>
      <c r="I15" s="12"/>
      <c r="J15" s="34"/>
      <c r="L15" s="12"/>
      <c r="M15" s="12"/>
      <c r="N15" s="12"/>
    </row>
    <row r="16">
      <c r="A16" s="12"/>
      <c r="B16" s="61" t="s">
        <v>196</v>
      </c>
      <c r="C16" s="62" t="s">
        <v>197</v>
      </c>
      <c r="D16" s="63"/>
      <c r="E16" s="65"/>
      <c r="F16" s="12"/>
      <c r="G16" s="30" t="s">
        <v>199</v>
      </c>
      <c r="H16" s="32">
        <v>150.0</v>
      </c>
      <c r="I16" s="12"/>
      <c r="L16" s="12"/>
      <c r="M16" s="12"/>
      <c r="N16" s="12"/>
    </row>
    <row r="17">
      <c r="A17" s="12"/>
      <c r="C17" s="66"/>
      <c r="D17" s="67"/>
      <c r="E17" s="68"/>
      <c r="F17" s="12"/>
      <c r="G17" s="30" t="s">
        <v>203</v>
      </c>
      <c r="H17" s="32">
        <v>200.0</v>
      </c>
      <c r="I17" s="12"/>
      <c r="L17" s="12"/>
      <c r="M17" s="12"/>
      <c r="N17" s="12"/>
    </row>
    <row r="18">
      <c r="A18" s="12"/>
      <c r="B18" s="12"/>
      <c r="C18" s="69"/>
      <c r="D18" s="69"/>
      <c r="E18" s="69"/>
      <c r="F18" s="12"/>
      <c r="G18" s="70"/>
      <c r="H18" s="71"/>
      <c r="I18" s="12"/>
      <c r="J18" s="12"/>
      <c r="K18" s="12"/>
      <c r="L18" s="12"/>
      <c r="M18" s="12"/>
      <c r="N18" s="12"/>
    </row>
    <row r="25">
      <c r="B25" s="12"/>
    </row>
  </sheetData>
  <mergeCells count="14">
    <mergeCell ref="B2:E9"/>
    <mergeCell ref="B10:E10"/>
    <mergeCell ref="B16:B17"/>
    <mergeCell ref="C16:E17"/>
    <mergeCell ref="J9:K11"/>
    <mergeCell ref="J14:K14"/>
    <mergeCell ref="J15:K17"/>
    <mergeCell ref="G2:H2"/>
    <mergeCell ref="J2:K2"/>
    <mergeCell ref="J3:K5"/>
    <mergeCell ref="G6:H6"/>
    <mergeCell ref="J6:K6"/>
    <mergeCell ref="J8:K8"/>
    <mergeCell ref="G13:H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2.75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6" t="s">
        <v>14</v>
      </c>
      <c r="D2" s="8" t="s">
        <v>15</v>
      </c>
      <c r="E2" s="9" t="s">
        <v>16</v>
      </c>
      <c r="F2" s="11"/>
      <c r="G2" s="11"/>
      <c r="H2" s="11"/>
      <c r="I2" s="11"/>
      <c r="J2" s="11"/>
      <c r="K2" s="11"/>
      <c r="L2" s="11"/>
      <c r="M2" s="11"/>
      <c r="N2" s="1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16"/>
      <c r="E3" s="17" t="s">
        <v>25</v>
      </c>
      <c r="F3" s="17" t="s">
        <v>29</v>
      </c>
      <c r="G3" s="17" t="s">
        <v>31</v>
      </c>
      <c r="H3" s="17" t="s">
        <v>34</v>
      </c>
      <c r="I3" s="17" t="s">
        <v>37</v>
      </c>
      <c r="J3" s="17" t="s">
        <v>39</v>
      </c>
      <c r="K3" s="17" t="s">
        <v>42</v>
      </c>
      <c r="L3" s="17" t="s">
        <v>43</v>
      </c>
      <c r="M3" s="17" t="s">
        <v>47</v>
      </c>
      <c r="N3" s="17" t="s">
        <v>50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23" t="s">
        <v>52</v>
      </c>
      <c r="C4" s="25">
        <v>0.08</v>
      </c>
      <c r="D4" s="26">
        <v>1000.0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23" t="s">
        <v>86</v>
      </c>
      <c r="C5" s="25">
        <v>0.05</v>
      </c>
      <c r="D5" s="26">
        <v>1000.0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23" t="s">
        <v>111</v>
      </c>
      <c r="C6" s="25">
        <v>0.02</v>
      </c>
      <c r="D6" s="26">
        <v>1000.0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23" t="s">
        <v>145</v>
      </c>
      <c r="E8" s="45"/>
      <c r="F8" s="3"/>
      <c r="G8" s="4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53" t="str">
        <f>MATCH(Asset D,B4:B6,0)</f>
        <v>#ERROR!</v>
      </c>
      <c r="C9" s="53" t="str">
        <f>MATCH("Asset D",B4:B6,0)</f>
        <v>#N/A</v>
      </c>
      <c r="D9" s="53" t="str">
        <f>D4*B4</f>
        <v>#VALUE!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C2:C3"/>
    <mergeCell ref="D2:D3"/>
    <mergeCell ref="E2:N2"/>
    <mergeCell ref="B8:D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4" max="4" width="14.5"/>
    <col customWidth="1" min="5" max="5" width="19.0"/>
    <col customWidth="1" min="13" max="13" width="26.38"/>
    <col customWidth="1" min="18" max="18" width="15.5"/>
  </cols>
  <sheetData>
    <row r="1">
      <c r="A1" s="1" t="s">
        <v>18</v>
      </c>
      <c r="B1" s="15" t="s">
        <v>19</v>
      </c>
      <c r="C1" s="1" t="s">
        <v>26</v>
      </c>
      <c r="D1" s="18" t="s">
        <v>27</v>
      </c>
      <c r="E1" s="1" t="s">
        <v>36</v>
      </c>
      <c r="F1" s="1" t="s">
        <v>38</v>
      </c>
      <c r="G1" s="1" t="s">
        <v>1</v>
      </c>
      <c r="H1" s="1" t="s">
        <v>2</v>
      </c>
      <c r="I1" s="1" t="s">
        <v>49</v>
      </c>
      <c r="J1" s="20" t="s">
        <v>51</v>
      </c>
      <c r="K1" s="22" t="s">
        <v>53</v>
      </c>
      <c r="L1" s="1" t="s">
        <v>58</v>
      </c>
      <c r="M1" s="1" t="s">
        <v>8</v>
      </c>
      <c r="N1" s="1" t="s">
        <v>62</v>
      </c>
      <c r="O1" s="1" t="s">
        <v>64</v>
      </c>
      <c r="P1" s="1" t="s">
        <v>9</v>
      </c>
      <c r="Q1" s="1" t="s">
        <v>6</v>
      </c>
      <c r="R1" s="1" t="s">
        <v>69</v>
      </c>
      <c r="S1" s="1" t="s">
        <v>7</v>
      </c>
      <c r="T1" s="1" t="s">
        <v>72</v>
      </c>
      <c r="U1" s="1" t="s">
        <v>76</v>
      </c>
      <c r="V1" s="31" t="s">
        <v>78</v>
      </c>
      <c r="W1" s="31" t="s">
        <v>80</v>
      </c>
    </row>
    <row r="2">
      <c r="A2" s="5" t="s">
        <v>83</v>
      </c>
      <c r="B2" s="33"/>
      <c r="C2" s="5" t="s">
        <v>92</v>
      </c>
      <c r="D2" s="33"/>
      <c r="E2" s="33"/>
      <c r="F2" s="5" t="s">
        <v>95</v>
      </c>
      <c r="G2" s="5" t="s">
        <v>12</v>
      </c>
      <c r="H2" s="5" t="s">
        <v>13</v>
      </c>
      <c r="I2" s="5" t="s">
        <v>100</v>
      </c>
      <c r="J2" s="29">
        <v>62031.0</v>
      </c>
      <c r="K2" s="36"/>
      <c r="L2" s="5" t="s">
        <v>106</v>
      </c>
      <c r="M2" s="5" t="s">
        <v>108</v>
      </c>
      <c r="N2" s="37"/>
      <c r="O2" s="38" t="s">
        <v>114</v>
      </c>
      <c r="P2" s="33" t="s">
        <v>114</v>
      </c>
      <c r="Q2" s="5" t="s">
        <v>17</v>
      </c>
      <c r="R2" s="41" t="str">
        <f>SUBSTITUTE(Q2,"-", "|",2)</f>
        <v>618-376|3064</v>
      </c>
      <c r="S2" s="42">
        <v>618.0</v>
      </c>
      <c r="T2" s="44">
        <v>3064.0</v>
      </c>
      <c r="U2" s="48">
        <v>376.0</v>
      </c>
      <c r="V2" s="49" t="s">
        <v>156</v>
      </c>
      <c r="W2" s="51">
        <v>158.0</v>
      </c>
    </row>
    <row r="3">
      <c r="A3" s="5" t="s">
        <v>163</v>
      </c>
      <c r="B3" s="33"/>
      <c r="C3" s="5" t="s">
        <v>165</v>
      </c>
      <c r="D3" s="33"/>
      <c r="E3" s="33" t="str">
        <f t="shared" ref="E3:E33" si="1">B3&amp;" "&amp;D3</f>
        <v> </v>
      </c>
      <c r="F3" s="5" t="s">
        <v>168</v>
      </c>
      <c r="G3" s="5" t="s">
        <v>23</v>
      </c>
      <c r="H3" s="5" t="s">
        <v>24</v>
      </c>
      <c r="I3" s="5" t="s">
        <v>170</v>
      </c>
      <c r="J3" s="29">
        <v>95936.0</v>
      </c>
      <c r="K3" s="36"/>
      <c r="L3" s="5" t="s">
        <v>172</v>
      </c>
      <c r="M3" s="5" t="s">
        <v>173</v>
      </c>
      <c r="N3" s="37"/>
      <c r="O3" s="38"/>
      <c r="P3" s="33"/>
      <c r="Q3" s="5" t="s">
        <v>28</v>
      </c>
      <c r="R3" s="41"/>
      <c r="S3" s="42" t="s">
        <v>114</v>
      </c>
      <c r="T3" s="44"/>
      <c r="U3" s="48"/>
      <c r="V3" s="49" t="s">
        <v>176</v>
      </c>
      <c r="W3" s="51">
        <v>851.0</v>
      </c>
    </row>
    <row r="4">
      <c r="A4" s="5" t="s">
        <v>177</v>
      </c>
      <c r="B4" s="33"/>
      <c r="C4" s="5" t="s">
        <v>179</v>
      </c>
      <c r="D4" s="33"/>
      <c r="E4" s="33" t="str">
        <f t="shared" si="1"/>
        <v> </v>
      </c>
      <c r="F4" s="5" t="s">
        <v>95</v>
      </c>
      <c r="G4" s="5" t="s">
        <v>33</v>
      </c>
      <c r="H4" s="5" t="s">
        <v>35</v>
      </c>
      <c r="I4" s="5" t="s">
        <v>182</v>
      </c>
      <c r="J4" s="29">
        <v>7040.0</v>
      </c>
      <c r="K4" s="36"/>
      <c r="L4" s="5" t="s">
        <v>183</v>
      </c>
      <c r="M4" s="5" t="s">
        <v>184</v>
      </c>
      <c r="N4" s="37"/>
      <c r="O4" s="38"/>
      <c r="P4" s="33"/>
      <c r="Q4" s="5" t="s">
        <v>40</v>
      </c>
      <c r="R4" s="41"/>
      <c r="S4" s="42"/>
      <c r="T4" s="44"/>
      <c r="U4" s="48"/>
      <c r="V4" s="49" t="s">
        <v>188</v>
      </c>
      <c r="W4" s="51"/>
    </row>
    <row r="5">
      <c r="A5" s="5" t="s">
        <v>189</v>
      </c>
      <c r="B5" s="33"/>
      <c r="C5" s="5" t="s">
        <v>190</v>
      </c>
      <c r="D5" s="33"/>
      <c r="E5" s="33" t="str">
        <f t="shared" si="1"/>
        <v> </v>
      </c>
      <c r="F5" s="5" t="s">
        <v>168</v>
      </c>
      <c r="G5" s="5" t="s">
        <v>46</v>
      </c>
      <c r="H5" s="5" t="s">
        <v>48</v>
      </c>
      <c r="I5" s="5" t="s">
        <v>192</v>
      </c>
      <c r="J5" s="29">
        <v>22448.0</v>
      </c>
      <c r="K5" s="36"/>
      <c r="L5" s="5" t="s">
        <v>194</v>
      </c>
      <c r="M5" s="5" t="s">
        <v>195</v>
      </c>
      <c r="N5" s="37"/>
      <c r="O5" s="38"/>
      <c r="P5" s="33"/>
      <c r="Q5" s="5" t="s">
        <v>54</v>
      </c>
      <c r="R5" s="41"/>
      <c r="S5" s="42"/>
      <c r="T5" s="44"/>
      <c r="U5" s="48"/>
      <c r="V5" s="64" t="s">
        <v>198</v>
      </c>
      <c r="W5" s="51"/>
    </row>
    <row r="6">
      <c r="A6" s="5" t="s">
        <v>200</v>
      </c>
      <c r="B6" s="33"/>
      <c r="C6" s="5" t="s">
        <v>201</v>
      </c>
      <c r="D6" s="33"/>
      <c r="E6" s="33" t="str">
        <f t="shared" si="1"/>
        <v> </v>
      </c>
      <c r="F6" s="5" t="s">
        <v>168</v>
      </c>
      <c r="G6" s="5" t="s">
        <v>60</v>
      </c>
      <c r="H6" s="5" t="s">
        <v>61</v>
      </c>
      <c r="I6" s="5" t="s">
        <v>202</v>
      </c>
      <c r="J6" s="29">
        <v>70815.0</v>
      </c>
      <c r="K6" s="36"/>
      <c r="L6" s="5" t="s">
        <v>204</v>
      </c>
      <c r="M6" s="5" t="s">
        <v>205</v>
      </c>
      <c r="N6" s="37"/>
      <c r="O6" s="38"/>
      <c r="P6" s="33"/>
      <c r="Q6" s="5" t="s">
        <v>63</v>
      </c>
      <c r="R6" s="41"/>
      <c r="S6" s="42"/>
      <c r="T6" s="44"/>
      <c r="U6" s="48"/>
      <c r="V6" s="64" t="s">
        <v>206</v>
      </c>
      <c r="W6" s="51"/>
    </row>
    <row r="7">
      <c r="A7" s="5" t="s">
        <v>207</v>
      </c>
      <c r="B7" s="33"/>
      <c r="C7" s="5" t="s">
        <v>208</v>
      </c>
      <c r="D7" s="33"/>
      <c r="E7" s="33" t="str">
        <f t="shared" si="1"/>
        <v> </v>
      </c>
      <c r="F7" s="5" t="s">
        <v>168</v>
      </c>
      <c r="G7" s="5" t="s">
        <v>67</v>
      </c>
      <c r="H7" s="5" t="s">
        <v>68</v>
      </c>
      <c r="I7" s="5" t="s">
        <v>209</v>
      </c>
      <c r="J7" s="29">
        <v>97205.0</v>
      </c>
      <c r="K7" s="36"/>
      <c r="L7" s="5" t="s">
        <v>210</v>
      </c>
      <c r="M7" s="5" t="s">
        <v>211</v>
      </c>
      <c r="N7" s="37"/>
      <c r="O7" s="38"/>
      <c r="P7" s="33"/>
      <c r="Q7" s="5" t="s">
        <v>70</v>
      </c>
      <c r="R7" s="41"/>
      <c r="S7" s="42"/>
      <c r="T7" s="44"/>
      <c r="U7" s="48"/>
      <c r="V7" s="49" t="s">
        <v>212</v>
      </c>
      <c r="W7" s="51"/>
    </row>
    <row r="8">
      <c r="A8" s="5" t="s">
        <v>213</v>
      </c>
      <c r="B8" s="33"/>
      <c r="C8" s="5" t="s">
        <v>214</v>
      </c>
      <c r="D8" s="33"/>
      <c r="E8" s="33" t="str">
        <f t="shared" si="1"/>
        <v> </v>
      </c>
      <c r="F8" s="5" t="s">
        <v>95</v>
      </c>
      <c r="G8" s="5" t="s">
        <v>75</v>
      </c>
      <c r="H8" s="5" t="s">
        <v>77</v>
      </c>
      <c r="I8" s="5" t="s">
        <v>215</v>
      </c>
      <c r="J8" s="29">
        <v>78749.0</v>
      </c>
      <c r="K8" s="36"/>
      <c r="L8" s="5" t="s">
        <v>216</v>
      </c>
      <c r="M8" s="5" t="s">
        <v>217</v>
      </c>
      <c r="N8" s="37"/>
      <c r="O8" s="38"/>
      <c r="P8" s="33"/>
      <c r="Q8" s="5" t="s">
        <v>79</v>
      </c>
      <c r="R8" s="41"/>
      <c r="S8" s="42"/>
      <c r="T8" s="44"/>
      <c r="U8" s="48"/>
      <c r="V8" s="49" t="s">
        <v>218</v>
      </c>
      <c r="W8" s="51"/>
    </row>
    <row r="9">
      <c r="A9" s="5" t="s">
        <v>219</v>
      </c>
      <c r="B9" s="33"/>
      <c r="C9" s="5" t="s">
        <v>220</v>
      </c>
      <c r="D9" s="33"/>
      <c r="E9" s="33" t="str">
        <f t="shared" si="1"/>
        <v> </v>
      </c>
      <c r="F9" s="5" t="s">
        <v>95</v>
      </c>
      <c r="G9" s="5" t="s">
        <v>84</v>
      </c>
      <c r="H9" s="5" t="s">
        <v>85</v>
      </c>
      <c r="I9" s="5" t="s">
        <v>221</v>
      </c>
      <c r="J9" s="29">
        <v>36083.0</v>
      </c>
      <c r="K9" s="36"/>
      <c r="L9" s="5" t="s">
        <v>222</v>
      </c>
      <c r="M9" s="5" t="s">
        <v>223</v>
      </c>
      <c r="N9" s="37"/>
      <c r="O9" s="38"/>
      <c r="P9" s="33"/>
      <c r="Q9" s="5" t="s">
        <v>87</v>
      </c>
      <c r="R9" s="41"/>
      <c r="S9" s="42"/>
      <c r="T9" s="44"/>
      <c r="U9" s="48"/>
      <c r="V9" s="49" t="s">
        <v>224</v>
      </c>
      <c r="W9" s="51"/>
    </row>
    <row r="10">
      <c r="A10" s="5" t="s">
        <v>225</v>
      </c>
      <c r="B10" s="33"/>
      <c r="C10" s="5" t="s">
        <v>226</v>
      </c>
      <c r="D10" s="33"/>
      <c r="E10" s="33" t="str">
        <f t="shared" si="1"/>
        <v> </v>
      </c>
      <c r="F10" s="5" t="s">
        <v>95</v>
      </c>
      <c r="G10" s="5" t="s">
        <v>90</v>
      </c>
      <c r="H10" s="5" t="s">
        <v>91</v>
      </c>
      <c r="I10" s="5" t="s">
        <v>227</v>
      </c>
      <c r="J10" s="29">
        <v>11101.0</v>
      </c>
      <c r="K10" s="36"/>
      <c r="L10" s="5" t="s">
        <v>228</v>
      </c>
      <c r="M10" s="5" t="s">
        <v>229</v>
      </c>
      <c r="N10" s="37"/>
      <c r="O10" s="38"/>
      <c r="P10" s="33"/>
      <c r="Q10" s="5" t="s">
        <v>93</v>
      </c>
      <c r="R10" s="41"/>
      <c r="S10" s="42"/>
      <c r="T10" s="44"/>
      <c r="U10" s="48"/>
      <c r="V10" s="49" t="s">
        <v>230</v>
      </c>
      <c r="W10" s="51"/>
    </row>
    <row r="11">
      <c r="A11" s="5" t="s">
        <v>231</v>
      </c>
      <c r="B11" s="33"/>
      <c r="C11" s="5" t="s">
        <v>232</v>
      </c>
      <c r="D11" s="33"/>
      <c r="E11" s="33" t="str">
        <f t="shared" si="1"/>
        <v> </v>
      </c>
      <c r="F11" s="5" t="s">
        <v>168</v>
      </c>
      <c r="G11" s="5" t="s">
        <v>97</v>
      </c>
      <c r="H11" s="5" t="s">
        <v>99</v>
      </c>
      <c r="I11" s="5" t="s">
        <v>227</v>
      </c>
      <c r="J11" s="29">
        <v>12207.0</v>
      </c>
      <c r="K11" s="36"/>
      <c r="L11" s="5" t="s">
        <v>233</v>
      </c>
      <c r="M11" s="5" t="s">
        <v>234</v>
      </c>
      <c r="N11" s="37"/>
      <c r="O11" s="38"/>
      <c r="P11" s="33"/>
      <c r="Q11" s="5" t="s">
        <v>101</v>
      </c>
      <c r="R11" s="41"/>
      <c r="S11" s="42"/>
      <c r="T11" s="44"/>
      <c r="U11" s="48"/>
      <c r="V11" s="64">
        <v>901298.0</v>
      </c>
      <c r="W11" s="51"/>
    </row>
    <row r="12">
      <c r="A12" s="5" t="s">
        <v>235</v>
      </c>
      <c r="B12" s="33"/>
      <c r="C12" s="5" t="s">
        <v>236</v>
      </c>
      <c r="D12" s="33"/>
      <c r="E12" s="33" t="str">
        <f t="shared" si="1"/>
        <v> </v>
      </c>
      <c r="F12" s="5" t="s">
        <v>95</v>
      </c>
      <c r="G12" s="5" t="s">
        <v>104</v>
      </c>
      <c r="H12" s="5" t="s">
        <v>105</v>
      </c>
      <c r="I12" s="5" t="s">
        <v>215</v>
      </c>
      <c r="J12" s="29">
        <v>77803.0</v>
      </c>
      <c r="K12" s="36"/>
      <c r="L12" s="5" t="s">
        <v>237</v>
      </c>
      <c r="M12" s="5" t="s">
        <v>238</v>
      </c>
      <c r="N12" s="37"/>
      <c r="O12" s="38"/>
      <c r="P12" s="33"/>
      <c r="Q12" s="5" t="s">
        <v>107</v>
      </c>
      <c r="R12" s="41"/>
      <c r="S12" s="42"/>
      <c r="T12" s="44"/>
      <c r="U12" s="48"/>
      <c r="V12" s="64">
        <v>1621738.0</v>
      </c>
      <c r="W12" s="51"/>
    </row>
    <row r="13">
      <c r="A13" s="5" t="s">
        <v>239</v>
      </c>
      <c r="B13" s="33"/>
      <c r="C13" s="5" t="s">
        <v>240</v>
      </c>
      <c r="D13" s="33"/>
      <c r="E13" s="33" t="str">
        <f t="shared" si="1"/>
        <v> </v>
      </c>
      <c r="F13" s="5" t="s">
        <v>95</v>
      </c>
      <c r="G13" s="5" t="s">
        <v>112</v>
      </c>
      <c r="H13" s="5" t="s">
        <v>113</v>
      </c>
      <c r="I13" s="5" t="s">
        <v>215</v>
      </c>
      <c r="J13" s="29">
        <v>75247.0</v>
      </c>
      <c r="K13" s="36"/>
      <c r="L13" s="5" t="s">
        <v>241</v>
      </c>
      <c r="M13" s="5" t="s">
        <v>242</v>
      </c>
      <c r="N13" s="37"/>
      <c r="O13" s="38"/>
      <c r="P13" s="33"/>
      <c r="Q13" s="5" t="s">
        <v>115</v>
      </c>
      <c r="R13" s="41"/>
      <c r="S13" s="42"/>
      <c r="T13" s="44"/>
      <c r="U13" s="48"/>
      <c r="V13" s="49" t="s">
        <v>243</v>
      </c>
      <c r="W13" s="51"/>
    </row>
    <row r="14">
      <c r="A14" s="5" t="s">
        <v>244</v>
      </c>
      <c r="B14" s="33"/>
      <c r="C14" s="5" t="s">
        <v>245</v>
      </c>
      <c r="D14" s="33"/>
      <c r="E14" s="33" t="str">
        <f t="shared" si="1"/>
        <v> </v>
      </c>
      <c r="F14" s="5" t="s">
        <v>95</v>
      </c>
      <c r="G14" s="5" t="s">
        <v>118</v>
      </c>
      <c r="H14" s="5" t="s">
        <v>120</v>
      </c>
      <c r="I14" s="5" t="s">
        <v>246</v>
      </c>
      <c r="J14" s="29">
        <v>2905.0</v>
      </c>
      <c r="K14" s="36"/>
      <c r="L14" s="5" t="s">
        <v>247</v>
      </c>
      <c r="M14" s="5" t="s">
        <v>248</v>
      </c>
      <c r="N14" s="37"/>
      <c r="O14" s="38"/>
      <c r="P14" s="33"/>
      <c r="Q14" s="5" t="s">
        <v>121</v>
      </c>
      <c r="R14" s="41"/>
      <c r="S14" s="42"/>
      <c r="T14" s="44"/>
      <c r="U14" s="48"/>
      <c r="V14" s="49" t="s">
        <v>249</v>
      </c>
      <c r="W14" s="51"/>
    </row>
    <row r="15">
      <c r="A15" s="5" t="s">
        <v>250</v>
      </c>
      <c r="B15" s="33"/>
      <c r="C15" s="5" t="s">
        <v>251</v>
      </c>
      <c r="D15" s="33"/>
      <c r="E15" s="33" t="str">
        <f t="shared" si="1"/>
        <v> </v>
      </c>
      <c r="F15" s="5" t="s">
        <v>95</v>
      </c>
      <c r="G15" s="5" t="s">
        <v>124</v>
      </c>
      <c r="H15" s="5" t="s">
        <v>125</v>
      </c>
      <c r="I15" s="5" t="s">
        <v>182</v>
      </c>
      <c r="J15" s="29">
        <v>8232.0</v>
      </c>
      <c r="K15" s="36"/>
      <c r="L15" s="5" t="s">
        <v>252</v>
      </c>
      <c r="M15" s="5" t="s">
        <v>253</v>
      </c>
      <c r="N15" s="37"/>
      <c r="O15" s="38"/>
      <c r="P15" s="33"/>
      <c r="Q15" s="5" t="s">
        <v>126</v>
      </c>
      <c r="R15" s="41"/>
      <c r="S15" s="42"/>
      <c r="T15" s="44"/>
      <c r="U15" s="48"/>
      <c r="V15" s="49" t="s">
        <v>254</v>
      </c>
      <c r="W15" s="51"/>
    </row>
    <row r="16">
      <c r="A16" s="5" t="s">
        <v>255</v>
      </c>
      <c r="B16" s="33"/>
      <c r="C16" s="5" t="s">
        <v>256</v>
      </c>
      <c r="D16" s="33"/>
      <c r="E16" s="33" t="str">
        <f t="shared" si="1"/>
        <v> </v>
      </c>
      <c r="F16" s="5" t="s">
        <v>95</v>
      </c>
      <c r="G16" s="5" t="s">
        <v>130</v>
      </c>
      <c r="H16" s="5" t="s">
        <v>131</v>
      </c>
      <c r="I16" s="5" t="s">
        <v>257</v>
      </c>
      <c r="J16" s="29">
        <v>54620.0</v>
      </c>
      <c r="K16" s="36"/>
      <c r="L16" s="5" t="s">
        <v>258</v>
      </c>
      <c r="M16" s="5" t="s">
        <v>259</v>
      </c>
      <c r="N16" s="37"/>
      <c r="O16" s="38"/>
      <c r="P16" s="33"/>
      <c r="Q16" s="5" t="s">
        <v>132</v>
      </c>
      <c r="R16" s="41"/>
      <c r="S16" s="42"/>
      <c r="T16" s="44"/>
      <c r="U16" s="48"/>
      <c r="V16" s="49" t="s">
        <v>260</v>
      </c>
      <c r="W16" s="51"/>
    </row>
    <row r="17">
      <c r="A17" s="5" t="s">
        <v>261</v>
      </c>
      <c r="B17" s="33"/>
      <c r="C17" s="5" t="s">
        <v>262</v>
      </c>
      <c r="D17" s="33"/>
      <c r="E17" s="33" t="str">
        <f t="shared" si="1"/>
        <v> </v>
      </c>
      <c r="F17" s="5" t="s">
        <v>168</v>
      </c>
      <c r="G17" s="5" t="s">
        <v>135</v>
      </c>
      <c r="H17" s="5" t="s">
        <v>136</v>
      </c>
      <c r="I17" s="5" t="s">
        <v>263</v>
      </c>
      <c r="J17" s="29">
        <v>48607.0</v>
      </c>
      <c r="K17" s="36"/>
      <c r="L17" s="5" t="s">
        <v>264</v>
      </c>
      <c r="M17" s="5" t="s">
        <v>265</v>
      </c>
      <c r="N17" s="37"/>
      <c r="O17" s="38"/>
      <c r="P17" s="33"/>
      <c r="Q17" s="5" t="s">
        <v>137</v>
      </c>
      <c r="R17" s="41"/>
      <c r="S17" s="42"/>
      <c r="T17" s="44"/>
      <c r="U17" s="48"/>
      <c r="V17" s="49" t="s">
        <v>266</v>
      </c>
      <c r="W17" s="51"/>
    </row>
    <row r="18">
      <c r="A18" s="5" t="s">
        <v>267</v>
      </c>
      <c r="B18" s="33"/>
      <c r="C18" s="5" t="s">
        <v>268</v>
      </c>
      <c r="D18" s="33"/>
      <c r="E18" s="33" t="str">
        <f t="shared" si="1"/>
        <v> </v>
      </c>
      <c r="F18" s="5" t="s">
        <v>95</v>
      </c>
      <c r="G18" s="5" t="s">
        <v>141</v>
      </c>
      <c r="H18" s="5" t="s">
        <v>142</v>
      </c>
      <c r="I18" s="5" t="s">
        <v>182</v>
      </c>
      <c r="J18" s="29">
        <v>8854.0</v>
      </c>
      <c r="K18" s="36"/>
      <c r="L18" s="5" t="s">
        <v>269</v>
      </c>
      <c r="M18" s="5" t="s">
        <v>270</v>
      </c>
      <c r="N18" s="37"/>
      <c r="O18" s="38"/>
      <c r="P18" s="33"/>
      <c r="Q18" s="5" t="s">
        <v>143</v>
      </c>
      <c r="R18" s="41"/>
      <c r="S18" s="42"/>
      <c r="T18" s="44"/>
      <c r="U18" s="48"/>
      <c r="V18" s="72">
        <v>2560260.0</v>
      </c>
      <c r="W18" s="51"/>
    </row>
    <row r="19">
      <c r="A19" s="5" t="s">
        <v>271</v>
      </c>
      <c r="B19" s="33"/>
      <c r="C19" s="5" t="s">
        <v>272</v>
      </c>
      <c r="D19" s="33"/>
      <c r="E19" s="33" t="str">
        <f t="shared" si="1"/>
        <v> </v>
      </c>
      <c r="F19" s="5" t="s">
        <v>95</v>
      </c>
      <c r="G19" s="5" t="s">
        <v>147</v>
      </c>
      <c r="H19" s="5" t="s">
        <v>148</v>
      </c>
      <c r="I19" s="5" t="s">
        <v>273</v>
      </c>
      <c r="J19" s="29">
        <v>38008.0</v>
      </c>
      <c r="K19" s="36"/>
      <c r="L19" s="5" t="s">
        <v>274</v>
      </c>
      <c r="M19" s="5" t="s">
        <v>275</v>
      </c>
      <c r="N19" s="37"/>
      <c r="O19" s="38"/>
      <c r="P19" s="33"/>
      <c r="Q19" s="5" t="s">
        <v>150</v>
      </c>
      <c r="R19" s="41"/>
      <c r="S19" s="42"/>
      <c r="T19" s="44"/>
      <c r="U19" s="48"/>
      <c r="V19" s="49" t="s">
        <v>276</v>
      </c>
      <c r="W19" s="51"/>
    </row>
    <row r="20">
      <c r="A20" s="5" t="s">
        <v>277</v>
      </c>
      <c r="B20" s="33"/>
      <c r="C20" s="5" t="s">
        <v>278</v>
      </c>
      <c r="D20" s="33"/>
      <c r="E20" s="33" t="str">
        <f t="shared" si="1"/>
        <v> </v>
      </c>
      <c r="F20" s="5" t="s">
        <v>95</v>
      </c>
      <c r="G20" s="5" t="s">
        <v>153</v>
      </c>
      <c r="H20" s="5" t="s">
        <v>154</v>
      </c>
      <c r="I20" s="5" t="s">
        <v>100</v>
      </c>
      <c r="J20" s="29">
        <v>60661.0</v>
      </c>
      <c r="K20" s="36"/>
      <c r="L20" s="5" t="s">
        <v>279</v>
      </c>
      <c r="M20" s="5" t="s">
        <v>280</v>
      </c>
      <c r="N20" s="37"/>
      <c r="O20" s="38"/>
      <c r="P20" s="33"/>
      <c r="Q20" s="5" t="s">
        <v>157</v>
      </c>
      <c r="R20" s="41"/>
      <c r="S20" s="42"/>
      <c r="T20" s="44"/>
      <c r="U20" s="48"/>
      <c r="V20" s="49" t="s">
        <v>281</v>
      </c>
      <c r="W20" s="51"/>
    </row>
    <row r="21">
      <c r="A21" s="5" t="s">
        <v>282</v>
      </c>
      <c r="B21" s="33"/>
      <c r="C21" s="5" t="s">
        <v>283</v>
      </c>
      <c r="D21" s="33"/>
      <c r="E21" s="33" t="str">
        <f t="shared" si="1"/>
        <v> </v>
      </c>
      <c r="F21" s="5" t="s">
        <v>168</v>
      </c>
      <c r="G21" s="5" t="s">
        <v>160</v>
      </c>
      <c r="H21" s="5" t="s">
        <v>161</v>
      </c>
      <c r="I21" s="5" t="s">
        <v>215</v>
      </c>
      <c r="J21" s="29">
        <v>77060.0</v>
      </c>
      <c r="K21" s="36"/>
      <c r="L21" s="5" t="s">
        <v>284</v>
      </c>
      <c r="M21" s="5" t="s">
        <v>285</v>
      </c>
      <c r="N21" s="37"/>
      <c r="O21" s="38"/>
      <c r="P21" s="33"/>
      <c r="Q21" s="5" t="s">
        <v>162</v>
      </c>
      <c r="R21" s="41"/>
      <c r="S21" s="42"/>
      <c r="T21" s="44"/>
      <c r="U21" s="48"/>
      <c r="V21" s="49" t="s">
        <v>286</v>
      </c>
      <c r="W21" s="51"/>
    </row>
    <row r="22">
      <c r="A22" s="5" t="s">
        <v>287</v>
      </c>
      <c r="B22" s="33"/>
      <c r="C22" s="5" t="s">
        <v>288</v>
      </c>
      <c r="D22" s="33"/>
      <c r="E22" s="33" t="str">
        <f t="shared" si="1"/>
        <v> </v>
      </c>
      <c r="F22" s="5" t="s">
        <v>95</v>
      </c>
      <c r="G22" s="5" t="s">
        <v>289</v>
      </c>
      <c r="H22" s="5" t="s">
        <v>290</v>
      </c>
      <c r="I22" s="5" t="s">
        <v>291</v>
      </c>
      <c r="J22" s="29">
        <v>32256.0</v>
      </c>
      <c r="K22" s="36"/>
      <c r="L22" s="5" t="s">
        <v>292</v>
      </c>
      <c r="M22" s="5" t="s">
        <v>293</v>
      </c>
      <c r="N22" s="37"/>
      <c r="O22" s="38"/>
      <c r="P22" s="33"/>
      <c r="Q22" s="5" t="s">
        <v>294</v>
      </c>
      <c r="R22" s="41"/>
      <c r="S22" s="42"/>
      <c r="T22" s="44"/>
      <c r="U22" s="48"/>
      <c r="V22" s="49" t="s">
        <v>295</v>
      </c>
      <c r="W22" s="51"/>
    </row>
    <row r="23">
      <c r="A23" s="5" t="s">
        <v>296</v>
      </c>
      <c r="B23" s="33"/>
      <c r="C23" s="5" t="s">
        <v>297</v>
      </c>
      <c r="D23" s="33"/>
      <c r="E23" s="33" t="str">
        <f t="shared" si="1"/>
        <v> </v>
      </c>
      <c r="F23" s="5" t="s">
        <v>168</v>
      </c>
      <c r="G23" s="5" t="s">
        <v>298</v>
      </c>
      <c r="H23" s="5" t="s">
        <v>299</v>
      </c>
      <c r="I23" s="5" t="s">
        <v>300</v>
      </c>
      <c r="J23" s="29">
        <v>68956.0</v>
      </c>
      <c r="K23" s="36"/>
      <c r="L23" s="5" t="s">
        <v>301</v>
      </c>
      <c r="M23" s="5" t="s">
        <v>302</v>
      </c>
      <c r="N23" s="37"/>
      <c r="O23" s="38"/>
      <c r="P23" s="33"/>
      <c r="Q23" s="5" t="s">
        <v>303</v>
      </c>
      <c r="R23" s="41"/>
      <c r="S23" s="42"/>
      <c r="T23" s="44"/>
      <c r="U23" s="48"/>
      <c r="V23" s="49" t="s">
        <v>304</v>
      </c>
      <c r="W23" s="51"/>
    </row>
    <row r="24">
      <c r="A24" s="5" t="s">
        <v>305</v>
      </c>
      <c r="B24" s="33"/>
      <c r="C24" s="5" t="s">
        <v>306</v>
      </c>
      <c r="D24" s="33"/>
      <c r="E24" s="33" t="str">
        <f t="shared" si="1"/>
        <v> </v>
      </c>
      <c r="F24" s="5" t="s">
        <v>95</v>
      </c>
      <c r="G24" s="5" t="s">
        <v>307</v>
      </c>
      <c r="H24" s="5" t="s">
        <v>308</v>
      </c>
      <c r="I24" s="5" t="s">
        <v>309</v>
      </c>
      <c r="J24" s="29">
        <v>84627.0</v>
      </c>
      <c r="K24" s="36"/>
      <c r="L24" s="5" t="s">
        <v>310</v>
      </c>
      <c r="M24" s="5" t="s">
        <v>311</v>
      </c>
      <c r="N24" s="37"/>
      <c r="O24" s="38"/>
      <c r="P24" s="33"/>
      <c r="Q24" s="5" t="s">
        <v>312</v>
      </c>
      <c r="R24" s="41"/>
      <c r="S24" s="42"/>
      <c r="T24" s="44"/>
      <c r="U24" s="48"/>
      <c r="V24" s="49" t="s">
        <v>313</v>
      </c>
      <c r="W24" s="51"/>
    </row>
    <row r="25">
      <c r="A25" s="5" t="s">
        <v>314</v>
      </c>
      <c r="B25" s="33"/>
      <c r="C25" s="5" t="s">
        <v>315</v>
      </c>
      <c r="D25" s="33"/>
      <c r="E25" s="33" t="str">
        <f t="shared" si="1"/>
        <v> </v>
      </c>
      <c r="F25" s="5" t="s">
        <v>168</v>
      </c>
      <c r="G25" s="5" t="s">
        <v>316</v>
      </c>
      <c r="H25" s="5" t="s">
        <v>317</v>
      </c>
      <c r="I25" s="5" t="s">
        <v>318</v>
      </c>
      <c r="J25" s="29">
        <v>25443.0</v>
      </c>
      <c r="K25" s="36"/>
      <c r="L25" s="5" t="s">
        <v>319</v>
      </c>
      <c r="M25" s="5" t="s">
        <v>320</v>
      </c>
      <c r="N25" s="37"/>
      <c r="O25" s="38"/>
      <c r="P25" s="33"/>
      <c r="Q25" s="5" t="s">
        <v>321</v>
      </c>
      <c r="R25" s="41"/>
      <c r="S25" s="42"/>
      <c r="T25" s="44"/>
      <c r="U25" s="48"/>
      <c r="V25" s="49" t="s">
        <v>322</v>
      </c>
      <c r="W25" s="51"/>
    </row>
    <row r="26">
      <c r="A26" s="5" t="s">
        <v>323</v>
      </c>
      <c r="B26" s="33"/>
      <c r="C26" s="5" t="s">
        <v>324</v>
      </c>
      <c r="D26" s="33"/>
      <c r="E26" s="33" t="str">
        <f t="shared" si="1"/>
        <v> </v>
      </c>
      <c r="F26" s="5" t="s">
        <v>95</v>
      </c>
      <c r="G26" s="5" t="s">
        <v>325</v>
      </c>
      <c r="H26" s="5" t="s">
        <v>326</v>
      </c>
      <c r="I26" s="5" t="s">
        <v>170</v>
      </c>
      <c r="J26" s="29">
        <v>90017.0</v>
      </c>
      <c r="K26" s="36"/>
      <c r="L26" s="5" t="s">
        <v>327</v>
      </c>
      <c r="M26" s="5" t="s">
        <v>328</v>
      </c>
      <c r="N26" s="37"/>
      <c r="O26" s="38"/>
      <c r="P26" s="33"/>
      <c r="Q26" s="5" t="s">
        <v>329</v>
      </c>
      <c r="R26" s="41"/>
      <c r="S26" s="42"/>
      <c r="T26" s="44"/>
      <c r="U26" s="48"/>
      <c r="V26" s="49" t="s">
        <v>330</v>
      </c>
      <c r="W26" s="51"/>
    </row>
    <row r="27">
      <c r="A27" s="5" t="s">
        <v>331</v>
      </c>
      <c r="B27" s="33"/>
      <c r="C27" s="5" t="s">
        <v>332</v>
      </c>
      <c r="D27" s="33"/>
      <c r="E27" s="33" t="str">
        <f t="shared" si="1"/>
        <v> </v>
      </c>
      <c r="F27" s="5" t="s">
        <v>95</v>
      </c>
      <c r="G27" s="5" t="s">
        <v>333</v>
      </c>
      <c r="H27" s="5" t="s">
        <v>334</v>
      </c>
      <c r="I27" s="5" t="s">
        <v>227</v>
      </c>
      <c r="J27" s="29">
        <v>10601.0</v>
      </c>
      <c r="K27" s="36"/>
      <c r="L27" s="5" t="s">
        <v>335</v>
      </c>
      <c r="M27" s="5" t="s">
        <v>336</v>
      </c>
      <c r="N27" s="37"/>
      <c r="O27" s="38"/>
      <c r="P27" s="33"/>
      <c r="Q27" s="5" t="s">
        <v>337</v>
      </c>
      <c r="R27" s="41"/>
      <c r="S27" s="42"/>
      <c r="T27" s="44"/>
      <c r="U27" s="48"/>
      <c r="V27" s="49" t="s">
        <v>338</v>
      </c>
      <c r="W27" s="51"/>
    </row>
    <row r="28">
      <c r="A28" s="5" t="s">
        <v>339</v>
      </c>
      <c r="B28" s="33"/>
      <c r="C28" s="5" t="s">
        <v>340</v>
      </c>
      <c r="D28" s="33"/>
      <c r="E28" s="33" t="str">
        <f t="shared" si="1"/>
        <v> </v>
      </c>
      <c r="F28" s="5" t="s">
        <v>168</v>
      </c>
      <c r="G28" s="5" t="s">
        <v>341</v>
      </c>
      <c r="H28" s="5" t="s">
        <v>342</v>
      </c>
      <c r="I28" s="5" t="s">
        <v>343</v>
      </c>
      <c r="J28" s="29">
        <v>30338.0</v>
      </c>
      <c r="K28" s="36"/>
      <c r="L28" s="5" t="s">
        <v>344</v>
      </c>
      <c r="M28" s="5" t="s">
        <v>345</v>
      </c>
      <c r="N28" s="37"/>
      <c r="O28" s="38"/>
      <c r="P28" s="33"/>
      <c r="Q28" s="5" t="s">
        <v>346</v>
      </c>
      <c r="R28" s="41"/>
      <c r="S28" s="42"/>
      <c r="T28" s="44"/>
      <c r="U28" s="48"/>
      <c r="V28" s="49" t="s">
        <v>347</v>
      </c>
      <c r="W28" s="51"/>
    </row>
    <row r="29">
      <c r="A29" s="5" t="s">
        <v>348</v>
      </c>
      <c r="B29" s="33"/>
      <c r="C29" s="5" t="s">
        <v>349</v>
      </c>
      <c r="D29" s="33"/>
      <c r="E29" s="33" t="str">
        <f t="shared" si="1"/>
        <v> </v>
      </c>
      <c r="F29" s="5" t="s">
        <v>168</v>
      </c>
      <c r="G29" s="5" t="s">
        <v>350</v>
      </c>
      <c r="H29" s="5" t="s">
        <v>351</v>
      </c>
      <c r="I29" s="5" t="s">
        <v>352</v>
      </c>
      <c r="J29" s="29">
        <v>27893.0</v>
      </c>
      <c r="K29" s="36"/>
      <c r="L29" s="5" t="s">
        <v>353</v>
      </c>
      <c r="M29" s="5" t="s">
        <v>354</v>
      </c>
      <c r="N29" s="37"/>
      <c r="O29" s="38"/>
      <c r="P29" s="33"/>
      <c r="Q29" s="5" t="s">
        <v>355</v>
      </c>
      <c r="R29" s="41"/>
      <c r="S29" s="42"/>
      <c r="T29" s="44"/>
      <c r="U29" s="48"/>
      <c r="V29" s="49" t="s">
        <v>356</v>
      </c>
      <c r="W29" s="51"/>
    </row>
    <row r="30">
      <c r="A30" s="5" t="s">
        <v>357</v>
      </c>
      <c r="B30" s="33"/>
      <c r="C30" s="5" t="s">
        <v>358</v>
      </c>
      <c r="D30" s="33"/>
      <c r="E30" s="33" t="str">
        <f t="shared" si="1"/>
        <v> </v>
      </c>
      <c r="F30" s="5" t="s">
        <v>95</v>
      </c>
      <c r="G30" s="5" t="s">
        <v>359</v>
      </c>
      <c r="H30" s="5" t="s">
        <v>360</v>
      </c>
      <c r="I30" s="5" t="s">
        <v>361</v>
      </c>
      <c r="J30" s="29">
        <v>2334.0</v>
      </c>
      <c r="K30" s="36"/>
      <c r="L30" s="5" t="s">
        <v>362</v>
      </c>
      <c r="M30" s="5" t="s">
        <v>363</v>
      </c>
      <c r="N30" s="37"/>
      <c r="O30" s="38"/>
      <c r="P30" s="33"/>
      <c r="Q30" s="5" t="s">
        <v>364</v>
      </c>
      <c r="R30" s="41"/>
      <c r="S30" s="42"/>
      <c r="T30" s="44"/>
      <c r="U30" s="48"/>
      <c r="V30" s="72">
        <v>208829.0</v>
      </c>
      <c r="W30" s="51"/>
    </row>
    <row r="31">
      <c r="A31" s="5" t="s">
        <v>365</v>
      </c>
      <c r="B31" s="33"/>
      <c r="C31" s="5" t="s">
        <v>366</v>
      </c>
      <c r="D31" s="33"/>
      <c r="E31" s="33" t="str">
        <f t="shared" si="1"/>
        <v> </v>
      </c>
      <c r="F31" s="5" t="s">
        <v>95</v>
      </c>
      <c r="G31" s="5" t="s">
        <v>367</v>
      </c>
      <c r="H31" s="5" t="s">
        <v>368</v>
      </c>
      <c r="I31" s="5" t="s">
        <v>352</v>
      </c>
      <c r="J31" s="29">
        <v>28202.0</v>
      </c>
      <c r="K31" s="36"/>
      <c r="L31" s="5" t="s">
        <v>369</v>
      </c>
      <c r="M31" s="5" t="s">
        <v>370</v>
      </c>
      <c r="N31" s="37"/>
      <c r="O31" s="38"/>
      <c r="P31" s="33"/>
      <c r="Q31" s="5" t="s">
        <v>371</v>
      </c>
      <c r="R31" s="41"/>
      <c r="S31" s="42"/>
      <c r="T31" s="44"/>
      <c r="U31" s="48"/>
      <c r="V31" s="72">
        <v>460846.0</v>
      </c>
      <c r="W31" s="51"/>
    </row>
    <row r="32">
      <c r="A32" s="5" t="s">
        <v>372</v>
      </c>
      <c r="B32" s="33"/>
      <c r="C32" s="5" t="s">
        <v>373</v>
      </c>
      <c r="D32" s="33"/>
      <c r="E32" s="33" t="str">
        <f t="shared" si="1"/>
        <v> </v>
      </c>
      <c r="F32" s="5" t="s">
        <v>95</v>
      </c>
      <c r="G32" s="5" t="s">
        <v>374</v>
      </c>
      <c r="H32" s="5" t="s">
        <v>368</v>
      </c>
      <c r="I32" s="5" t="s">
        <v>352</v>
      </c>
      <c r="J32" s="29">
        <v>28202.0</v>
      </c>
      <c r="K32" s="36"/>
      <c r="L32" s="5" t="s">
        <v>375</v>
      </c>
      <c r="M32" s="5" t="s">
        <v>376</v>
      </c>
      <c r="N32" s="37"/>
      <c r="O32" s="38"/>
      <c r="P32" s="33"/>
      <c r="Q32" s="5" t="s">
        <v>377</v>
      </c>
      <c r="R32" s="41"/>
      <c r="S32" s="42"/>
      <c r="T32" s="44"/>
      <c r="U32" s="48"/>
      <c r="V32" s="49" t="s">
        <v>378</v>
      </c>
      <c r="W32" s="51"/>
    </row>
    <row r="33">
      <c r="A33" s="5" t="s">
        <v>379</v>
      </c>
      <c r="B33" s="33"/>
      <c r="C33" s="5" t="s">
        <v>380</v>
      </c>
      <c r="D33" s="33"/>
      <c r="E33" s="33" t="str">
        <f t="shared" si="1"/>
        <v> </v>
      </c>
      <c r="F33" s="5" t="s">
        <v>168</v>
      </c>
      <c r="G33" s="5" t="s">
        <v>381</v>
      </c>
      <c r="H33" s="5" t="s">
        <v>113</v>
      </c>
      <c r="I33" s="5" t="s">
        <v>215</v>
      </c>
      <c r="J33" s="29">
        <v>75207.0</v>
      </c>
      <c r="K33" s="36"/>
      <c r="L33" s="5" t="s">
        <v>382</v>
      </c>
      <c r="M33" s="5" t="s">
        <v>383</v>
      </c>
      <c r="N33" s="37"/>
      <c r="O33" s="38"/>
      <c r="P33" s="33"/>
      <c r="Q33" s="5" t="s">
        <v>384</v>
      </c>
      <c r="R33" s="41"/>
      <c r="S33" s="42"/>
      <c r="T33" s="44"/>
      <c r="U33" s="48"/>
      <c r="V33" s="49" t="s">
        <v>385</v>
      </c>
      <c r="W33" s="51"/>
    </row>
    <row r="34">
      <c r="B34" s="73"/>
      <c r="J34" s="74"/>
      <c r="K34" s="75"/>
    </row>
    <row r="35">
      <c r="B35" s="73"/>
      <c r="J35" s="74"/>
      <c r="K35" s="75"/>
    </row>
    <row r="36">
      <c r="B36" s="73"/>
      <c r="J36" s="74"/>
      <c r="K36" s="75"/>
      <c r="T36" s="4" t="s">
        <v>386</v>
      </c>
    </row>
    <row r="37">
      <c r="B37" s="73"/>
      <c r="J37" s="74"/>
      <c r="K37" s="75"/>
    </row>
    <row r="38">
      <c r="B38" s="73"/>
      <c r="J38" s="74"/>
      <c r="K38" s="75"/>
    </row>
    <row r="39">
      <c r="B39" s="73"/>
      <c r="J39" s="74"/>
      <c r="K39" s="75"/>
    </row>
    <row r="40">
      <c r="B40" s="73"/>
      <c r="J40" s="74"/>
      <c r="K40" s="75"/>
    </row>
    <row r="41">
      <c r="B41" s="73"/>
      <c r="J41" s="74"/>
      <c r="K41" s="75"/>
    </row>
    <row r="42">
      <c r="B42" s="73"/>
      <c r="J42" s="74"/>
      <c r="K42" s="75"/>
    </row>
    <row r="43">
      <c r="B43" s="73"/>
      <c r="J43" s="74"/>
      <c r="K43" s="75"/>
    </row>
    <row r="44">
      <c r="B44" s="73"/>
      <c r="J44" s="74"/>
      <c r="K44" s="75"/>
    </row>
    <row r="45">
      <c r="B45" s="73"/>
      <c r="J45" s="74"/>
      <c r="K45" s="75"/>
    </row>
    <row r="46">
      <c r="B46" s="73"/>
      <c r="J46" s="74"/>
      <c r="K46" s="75"/>
    </row>
    <row r="47">
      <c r="B47" s="73"/>
      <c r="J47" s="74"/>
      <c r="K47" s="75"/>
    </row>
    <row r="48">
      <c r="B48" s="73"/>
      <c r="J48" s="74"/>
      <c r="K48" s="75"/>
    </row>
    <row r="49">
      <c r="B49" s="73"/>
      <c r="J49" s="74"/>
      <c r="K49" s="75"/>
    </row>
    <row r="50">
      <c r="B50" s="73"/>
      <c r="J50" s="74"/>
      <c r="K50" s="75"/>
    </row>
    <row r="51">
      <c r="B51" s="73"/>
      <c r="J51" s="74"/>
      <c r="K51" s="75"/>
    </row>
    <row r="52">
      <c r="B52" s="73"/>
      <c r="J52" s="74"/>
      <c r="K52" s="75"/>
    </row>
    <row r="53">
      <c r="B53" s="73"/>
      <c r="J53" s="74"/>
      <c r="K53" s="75"/>
    </row>
    <row r="54">
      <c r="B54" s="73"/>
      <c r="J54" s="74"/>
      <c r="K54" s="75"/>
    </row>
    <row r="55">
      <c r="B55" s="73"/>
      <c r="J55" s="74"/>
      <c r="K55" s="75"/>
    </row>
    <row r="56">
      <c r="B56" s="73"/>
      <c r="J56" s="74"/>
      <c r="K56" s="75"/>
    </row>
    <row r="57">
      <c r="B57" s="73"/>
      <c r="J57" s="74"/>
      <c r="K57" s="75"/>
    </row>
    <row r="58">
      <c r="B58" s="73"/>
      <c r="J58" s="74"/>
      <c r="K58" s="75"/>
    </row>
    <row r="59">
      <c r="B59" s="73"/>
      <c r="J59" s="74"/>
      <c r="K59" s="75"/>
    </row>
    <row r="60">
      <c r="B60" s="73"/>
      <c r="J60" s="74"/>
      <c r="K60" s="75"/>
    </row>
    <row r="61">
      <c r="B61" s="73"/>
      <c r="J61" s="74"/>
      <c r="K61" s="75"/>
    </row>
    <row r="62">
      <c r="B62" s="73"/>
      <c r="J62" s="74"/>
      <c r="K62" s="75"/>
    </row>
    <row r="63">
      <c r="B63" s="73"/>
      <c r="J63" s="74"/>
      <c r="K63" s="75"/>
    </row>
    <row r="64">
      <c r="B64" s="73"/>
      <c r="J64" s="74"/>
      <c r="K64" s="75"/>
    </row>
    <row r="65">
      <c r="B65" s="73"/>
      <c r="J65" s="74"/>
      <c r="K65" s="75"/>
    </row>
    <row r="66">
      <c r="B66" s="73"/>
      <c r="J66" s="74"/>
      <c r="K66" s="75"/>
    </row>
    <row r="67">
      <c r="B67" s="73"/>
      <c r="J67" s="74"/>
      <c r="K67" s="75"/>
    </row>
    <row r="68">
      <c r="B68" s="73"/>
      <c r="J68" s="74"/>
      <c r="K68" s="75"/>
    </row>
    <row r="69">
      <c r="B69" s="73"/>
      <c r="J69" s="74"/>
      <c r="K69" s="75"/>
    </row>
    <row r="70">
      <c r="B70" s="73"/>
      <c r="J70" s="74"/>
      <c r="K70" s="75"/>
    </row>
    <row r="71">
      <c r="B71" s="73"/>
      <c r="J71" s="74"/>
      <c r="K71" s="75"/>
    </row>
    <row r="72">
      <c r="B72" s="73"/>
      <c r="J72" s="74"/>
      <c r="K72" s="75"/>
    </row>
    <row r="73">
      <c r="B73" s="73"/>
      <c r="J73" s="74"/>
      <c r="K73" s="75"/>
    </row>
    <row r="74">
      <c r="B74" s="73"/>
      <c r="J74" s="74"/>
      <c r="K74" s="75"/>
    </row>
    <row r="75">
      <c r="B75" s="73"/>
      <c r="J75" s="74"/>
      <c r="K75" s="75"/>
    </row>
    <row r="76">
      <c r="B76" s="73"/>
      <c r="J76" s="74"/>
      <c r="K76" s="75"/>
    </row>
    <row r="77">
      <c r="B77" s="73"/>
      <c r="J77" s="74"/>
      <c r="K77" s="75"/>
    </row>
    <row r="78">
      <c r="B78" s="73"/>
      <c r="J78" s="74"/>
      <c r="K78" s="75"/>
    </row>
    <row r="79">
      <c r="B79" s="73"/>
      <c r="J79" s="74"/>
      <c r="K79" s="75"/>
    </row>
    <row r="80">
      <c r="B80" s="73"/>
      <c r="J80" s="74"/>
      <c r="K80" s="75"/>
    </row>
    <row r="81">
      <c r="B81" s="73"/>
      <c r="J81" s="74"/>
      <c r="K81" s="75"/>
    </row>
    <row r="82">
      <c r="B82" s="73"/>
      <c r="J82" s="74"/>
      <c r="K82" s="75"/>
    </row>
    <row r="83">
      <c r="B83" s="73"/>
      <c r="J83" s="74"/>
      <c r="K83" s="75"/>
    </row>
    <row r="84">
      <c r="B84" s="73"/>
      <c r="J84" s="74"/>
      <c r="K84" s="75"/>
    </row>
    <row r="85">
      <c r="B85" s="73"/>
      <c r="J85" s="74"/>
      <c r="K85" s="75"/>
    </row>
    <row r="86">
      <c r="B86" s="73"/>
      <c r="J86" s="74"/>
      <c r="K86" s="75"/>
    </row>
    <row r="87">
      <c r="B87" s="73"/>
      <c r="J87" s="74"/>
      <c r="K87" s="75"/>
    </row>
    <row r="88">
      <c r="B88" s="73"/>
      <c r="J88" s="74"/>
      <c r="K88" s="75"/>
    </row>
    <row r="89">
      <c r="B89" s="73"/>
      <c r="J89" s="74"/>
      <c r="K89" s="75"/>
    </row>
    <row r="90">
      <c r="B90" s="73"/>
      <c r="J90" s="74"/>
      <c r="K90" s="75"/>
    </row>
    <row r="91">
      <c r="B91" s="73"/>
      <c r="J91" s="74"/>
      <c r="K91" s="75"/>
    </row>
    <row r="92">
      <c r="B92" s="73"/>
      <c r="J92" s="74"/>
      <c r="K92" s="75"/>
    </row>
    <row r="93">
      <c r="B93" s="73"/>
      <c r="J93" s="74"/>
      <c r="K93" s="75"/>
    </row>
    <row r="94">
      <c r="B94" s="73"/>
      <c r="J94" s="74"/>
      <c r="K94" s="75"/>
    </row>
    <row r="95">
      <c r="B95" s="73"/>
      <c r="J95" s="74"/>
      <c r="K95" s="75"/>
    </row>
    <row r="96">
      <c r="B96" s="73"/>
      <c r="J96" s="74"/>
      <c r="K96" s="75"/>
    </row>
    <row r="97">
      <c r="B97" s="73"/>
      <c r="J97" s="74"/>
      <c r="K97" s="75"/>
    </row>
    <row r="98">
      <c r="B98" s="73"/>
      <c r="J98" s="74"/>
      <c r="K98" s="75"/>
    </row>
    <row r="99">
      <c r="B99" s="73"/>
      <c r="J99" s="74"/>
      <c r="K99" s="75"/>
    </row>
    <row r="100">
      <c r="B100" s="73"/>
      <c r="J100" s="74"/>
      <c r="K100" s="75"/>
    </row>
    <row r="101">
      <c r="B101" s="73"/>
      <c r="J101" s="74"/>
      <c r="K101" s="75"/>
    </row>
    <row r="102">
      <c r="B102" s="73"/>
      <c r="J102" s="74"/>
      <c r="K102" s="75"/>
    </row>
    <row r="103">
      <c r="B103" s="73"/>
      <c r="J103" s="74"/>
      <c r="K103" s="75"/>
    </row>
    <row r="104">
      <c r="B104" s="73"/>
      <c r="J104" s="74"/>
      <c r="K104" s="75"/>
    </row>
    <row r="105">
      <c r="B105" s="73"/>
      <c r="J105" s="74"/>
      <c r="K105" s="75"/>
    </row>
    <row r="106">
      <c r="B106" s="73"/>
      <c r="J106" s="74"/>
      <c r="K106" s="75"/>
    </row>
    <row r="107">
      <c r="B107" s="73"/>
      <c r="J107" s="74"/>
      <c r="K107" s="75"/>
    </row>
    <row r="108">
      <c r="B108" s="73"/>
      <c r="J108" s="74"/>
      <c r="K108" s="75"/>
    </row>
    <row r="109">
      <c r="B109" s="73"/>
      <c r="J109" s="74"/>
      <c r="K109" s="75"/>
    </row>
    <row r="110">
      <c r="B110" s="73"/>
      <c r="J110" s="74"/>
      <c r="K110" s="75"/>
    </row>
    <row r="111">
      <c r="B111" s="73"/>
      <c r="J111" s="74"/>
      <c r="K111" s="75"/>
    </row>
    <row r="112">
      <c r="B112" s="73"/>
      <c r="J112" s="74"/>
      <c r="K112" s="75"/>
    </row>
    <row r="113">
      <c r="B113" s="73"/>
      <c r="J113" s="74"/>
      <c r="K113" s="75"/>
    </row>
    <row r="114">
      <c r="B114" s="73"/>
      <c r="J114" s="74"/>
      <c r="K114" s="75"/>
    </row>
    <row r="115">
      <c r="B115" s="73"/>
      <c r="J115" s="74"/>
      <c r="K115" s="75"/>
    </row>
    <row r="116">
      <c r="B116" s="73"/>
      <c r="J116" s="74"/>
      <c r="K116" s="75"/>
    </row>
    <row r="117">
      <c r="B117" s="73"/>
      <c r="J117" s="74"/>
      <c r="K117" s="75"/>
    </row>
    <row r="118">
      <c r="B118" s="73"/>
      <c r="J118" s="74"/>
      <c r="K118" s="75"/>
    </row>
    <row r="119">
      <c r="B119" s="73"/>
      <c r="J119" s="74"/>
      <c r="K119" s="75"/>
    </row>
    <row r="120">
      <c r="B120" s="73"/>
      <c r="J120" s="74"/>
      <c r="K120" s="75"/>
    </row>
    <row r="121">
      <c r="B121" s="73"/>
      <c r="J121" s="74"/>
      <c r="K121" s="75"/>
    </row>
    <row r="122">
      <c r="B122" s="73"/>
      <c r="J122" s="74"/>
      <c r="K122" s="75"/>
    </row>
    <row r="123">
      <c r="B123" s="73"/>
      <c r="J123" s="74"/>
      <c r="K123" s="75"/>
    </row>
    <row r="124">
      <c r="B124" s="73"/>
      <c r="J124" s="74"/>
      <c r="K124" s="75"/>
    </row>
    <row r="125">
      <c r="B125" s="73"/>
      <c r="J125" s="74"/>
      <c r="K125" s="75"/>
    </row>
    <row r="126">
      <c r="B126" s="73"/>
      <c r="J126" s="74"/>
      <c r="K126" s="75"/>
    </row>
    <row r="127">
      <c r="B127" s="73"/>
      <c r="J127" s="74"/>
      <c r="K127" s="75"/>
    </row>
    <row r="128">
      <c r="B128" s="73"/>
      <c r="J128" s="74"/>
      <c r="K128" s="75"/>
    </row>
    <row r="129">
      <c r="B129" s="73"/>
      <c r="J129" s="74"/>
      <c r="K129" s="75"/>
    </row>
    <row r="130">
      <c r="B130" s="73"/>
      <c r="J130" s="74"/>
      <c r="K130" s="75"/>
    </row>
    <row r="131">
      <c r="B131" s="73"/>
      <c r="J131" s="74"/>
      <c r="K131" s="75"/>
    </row>
    <row r="132">
      <c r="B132" s="73"/>
      <c r="J132" s="74"/>
      <c r="K132" s="75"/>
    </row>
    <row r="133">
      <c r="B133" s="73"/>
      <c r="J133" s="74"/>
      <c r="K133" s="75"/>
    </row>
    <row r="134">
      <c r="B134" s="73"/>
      <c r="J134" s="74"/>
      <c r="K134" s="75"/>
    </row>
    <row r="135">
      <c r="B135" s="73"/>
      <c r="J135" s="74"/>
      <c r="K135" s="75"/>
    </row>
    <row r="136">
      <c r="B136" s="73"/>
      <c r="J136" s="74"/>
      <c r="K136" s="75"/>
    </row>
    <row r="137">
      <c r="B137" s="73"/>
      <c r="J137" s="74"/>
      <c r="K137" s="75"/>
    </row>
    <row r="138">
      <c r="B138" s="73"/>
      <c r="J138" s="74"/>
      <c r="K138" s="75"/>
    </row>
    <row r="139">
      <c r="B139" s="73"/>
      <c r="J139" s="74"/>
      <c r="K139" s="75"/>
    </row>
    <row r="140">
      <c r="B140" s="73"/>
      <c r="J140" s="74"/>
      <c r="K140" s="75"/>
    </row>
    <row r="141">
      <c r="B141" s="73"/>
      <c r="J141" s="74"/>
      <c r="K141" s="75"/>
    </row>
    <row r="142">
      <c r="B142" s="73"/>
      <c r="J142" s="74"/>
      <c r="K142" s="75"/>
    </row>
    <row r="143">
      <c r="B143" s="73"/>
      <c r="J143" s="74"/>
      <c r="K143" s="75"/>
    </row>
    <row r="144">
      <c r="B144" s="73"/>
      <c r="J144" s="74"/>
      <c r="K144" s="75"/>
    </row>
    <row r="145">
      <c r="B145" s="73"/>
      <c r="J145" s="74"/>
      <c r="K145" s="75"/>
    </row>
    <row r="146">
      <c r="B146" s="73"/>
      <c r="J146" s="74"/>
      <c r="K146" s="75"/>
    </row>
    <row r="147">
      <c r="B147" s="73"/>
      <c r="J147" s="74"/>
      <c r="K147" s="75"/>
    </row>
    <row r="148">
      <c r="B148" s="73"/>
      <c r="J148" s="74"/>
      <c r="K148" s="75"/>
    </row>
    <row r="149">
      <c r="B149" s="73"/>
      <c r="J149" s="74"/>
      <c r="K149" s="75"/>
    </row>
    <row r="150">
      <c r="B150" s="73"/>
      <c r="J150" s="74"/>
      <c r="K150" s="75"/>
    </row>
    <row r="151">
      <c r="B151" s="73"/>
      <c r="J151" s="74"/>
      <c r="K151" s="75"/>
    </row>
    <row r="152">
      <c r="B152" s="73"/>
      <c r="J152" s="74"/>
      <c r="K152" s="75"/>
    </row>
    <row r="153">
      <c r="B153" s="73"/>
      <c r="J153" s="74"/>
      <c r="K153" s="75"/>
    </row>
    <row r="154">
      <c r="B154" s="73"/>
      <c r="J154" s="74"/>
      <c r="K154" s="75"/>
    </row>
    <row r="155">
      <c r="B155" s="73"/>
      <c r="J155" s="74"/>
      <c r="K155" s="75"/>
    </row>
    <row r="156">
      <c r="B156" s="73"/>
      <c r="J156" s="74"/>
      <c r="K156" s="75"/>
    </row>
    <row r="157">
      <c r="B157" s="73"/>
      <c r="J157" s="74"/>
      <c r="K157" s="75"/>
    </row>
    <row r="158">
      <c r="B158" s="73"/>
      <c r="J158" s="74"/>
      <c r="K158" s="75"/>
    </row>
    <row r="159">
      <c r="B159" s="73"/>
      <c r="J159" s="74"/>
      <c r="K159" s="75"/>
    </row>
    <row r="160">
      <c r="B160" s="73"/>
      <c r="J160" s="74"/>
      <c r="K160" s="75"/>
    </row>
    <row r="161">
      <c r="B161" s="73"/>
      <c r="J161" s="74"/>
      <c r="K161" s="75"/>
    </row>
    <row r="162">
      <c r="B162" s="73"/>
      <c r="J162" s="74"/>
      <c r="K162" s="75"/>
    </row>
    <row r="163">
      <c r="B163" s="73"/>
      <c r="J163" s="74"/>
      <c r="K163" s="75"/>
    </row>
    <row r="164">
      <c r="B164" s="73"/>
      <c r="J164" s="74"/>
      <c r="K164" s="75"/>
    </row>
    <row r="165">
      <c r="B165" s="73"/>
      <c r="J165" s="74"/>
      <c r="K165" s="75"/>
    </row>
    <row r="166">
      <c r="B166" s="73"/>
      <c r="J166" s="74"/>
      <c r="K166" s="75"/>
    </row>
    <row r="167">
      <c r="B167" s="73"/>
      <c r="J167" s="74"/>
      <c r="K167" s="75"/>
    </row>
    <row r="168">
      <c r="B168" s="73"/>
      <c r="J168" s="74"/>
      <c r="K168" s="75"/>
    </row>
    <row r="169">
      <c r="B169" s="73"/>
      <c r="J169" s="74"/>
      <c r="K169" s="75"/>
    </row>
    <row r="170">
      <c r="B170" s="73"/>
      <c r="J170" s="74"/>
      <c r="K170" s="75"/>
    </row>
    <row r="171">
      <c r="B171" s="73"/>
      <c r="J171" s="74"/>
      <c r="K171" s="75"/>
    </row>
    <row r="172">
      <c r="B172" s="73"/>
      <c r="J172" s="74"/>
      <c r="K172" s="75"/>
    </row>
    <row r="173">
      <c r="B173" s="73"/>
      <c r="J173" s="74"/>
      <c r="K173" s="75"/>
    </row>
    <row r="174">
      <c r="B174" s="73"/>
      <c r="J174" s="74"/>
      <c r="K174" s="75"/>
    </row>
    <row r="175">
      <c r="B175" s="73"/>
      <c r="J175" s="74"/>
      <c r="K175" s="75"/>
    </row>
    <row r="176">
      <c r="B176" s="73"/>
      <c r="J176" s="74"/>
      <c r="K176" s="75"/>
    </row>
    <row r="177">
      <c r="B177" s="73"/>
      <c r="J177" s="74"/>
      <c r="K177" s="75"/>
    </row>
    <row r="178">
      <c r="B178" s="73"/>
      <c r="J178" s="74"/>
      <c r="K178" s="75"/>
    </row>
    <row r="179">
      <c r="B179" s="73"/>
      <c r="J179" s="74"/>
      <c r="K179" s="75"/>
    </row>
    <row r="180">
      <c r="B180" s="73"/>
      <c r="J180" s="74"/>
      <c r="K180" s="75"/>
    </row>
    <row r="181">
      <c r="B181" s="73"/>
      <c r="J181" s="74"/>
      <c r="K181" s="75"/>
    </row>
    <row r="182">
      <c r="B182" s="73"/>
      <c r="J182" s="74"/>
      <c r="K182" s="75"/>
    </row>
    <row r="183">
      <c r="B183" s="73"/>
      <c r="J183" s="74"/>
      <c r="K183" s="75"/>
    </row>
    <row r="184">
      <c r="B184" s="73"/>
      <c r="J184" s="74"/>
      <c r="K184" s="75"/>
    </row>
    <row r="185">
      <c r="B185" s="73"/>
      <c r="J185" s="74"/>
      <c r="K185" s="75"/>
    </row>
    <row r="186">
      <c r="B186" s="73"/>
      <c r="J186" s="74"/>
      <c r="K186" s="75"/>
    </row>
    <row r="187">
      <c r="B187" s="73"/>
      <c r="J187" s="74"/>
      <c r="K187" s="75"/>
    </row>
    <row r="188">
      <c r="B188" s="73"/>
      <c r="J188" s="74"/>
      <c r="K188" s="75"/>
    </row>
    <row r="189">
      <c r="B189" s="73"/>
      <c r="J189" s="74"/>
      <c r="K189" s="75"/>
    </row>
    <row r="190">
      <c r="B190" s="73"/>
      <c r="J190" s="74"/>
      <c r="K190" s="75"/>
    </row>
    <row r="191">
      <c r="B191" s="73"/>
      <c r="J191" s="74"/>
      <c r="K191" s="75"/>
    </row>
    <row r="192">
      <c r="B192" s="73"/>
      <c r="J192" s="74"/>
      <c r="K192" s="75"/>
    </row>
    <row r="193">
      <c r="B193" s="73"/>
      <c r="J193" s="74"/>
      <c r="K193" s="75"/>
    </row>
    <row r="194">
      <c r="B194" s="73"/>
      <c r="J194" s="74"/>
      <c r="K194" s="75"/>
    </row>
    <row r="195">
      <c r="B195" s="73"/>
      <c r="J195" s="74"/>
      <c r="K195" s="75"/>
    </row>
    <row r="196">
      <c r="B196" s="73"/>
      <c r="J196" s="74"/>
      <c r="K196" s="75"/>
    </row>
    <row r="197">
      <c r="B197" s="73"/>
      <c r="J197" s="74"/>
      <c r="K197" s="75"/>
    </row>
    <row r="198">
      <c r="B198" s="73"/>
      <c r="J198" s="74"/>
      <c r="K198" s="75"/>
    </row>
    <row r="199">
      <c r="B199" s="73"/>
      <c r="J199" s="74"/>
      <c r="K199" s="75"/>
    </row>
    <row r="200">
      <c r="B200" s="73"/>
      <c r="J200" s="74"/>
      <c r="K200" s="75"/>
    </row>
    <row r="201">
      <c r="B201" s="73"/>
      <c r="J201" s="74"/>
      <c r="K201" s="75"/>
    </row>
    <row r="202">
      <c r="B202" s="73"/>
      <c r="J202" s="74"/>
      <c r="K202" s="75"/>
    </row>
    <row r="203">
      <c r="B203" s="73"/>
      <c r="J203" s="74"/>
      <c r="K203" s="75"/>
    </row>
    <row r="204">
      <c r="B204" s="73"/>
      <c r="J204" s="74"/>
      <c r="K204" s="75"/>
    </row>
    <row r="205">
      <c r="B205" s="73"/>
      <c r="J205" s="74"/>
      <c r="K205" s="75"/>
    </row>
    <row r="206">
      <c r="B206" s="73"/>
      <c r="J206" s="74"/>
      <c r="K206" s="75"/>
    </row>
    <row r="207">
      <c r="B207" s="73"/>
      <c r="J207" s="74"/>
      <c r="K207" s="75"/>
    </row>
    <row r="208">
      <c r="B208" s="73"/>
      <c r="J208" s="74"/>
      <c r="K208" s="75"/>
    </row>
    <row r="209">
      <c r="B209" s="73"/>
      <c r="J209" s="74"/>
      <c r="K209" s="75"/>
    </row>
    <row r="210">
      <c r="B210" s="73"/>
      <c r="J210" s="74"/>
      <c r="K210" s="75"/>
    </row>
    <row r="211">
      <c r="B211" s="73"/>
      <c r="J211" s="74"/>
      <c r="K211" s="75"/>
    </row>
    <row r="212">
      <c r="B212" s="73"/>
      <c r="J212" s="74"/>
      <c r="K212" s="75"/>
    </row>
    <row r="213">
      <c r="B213" s="73"/>
      <c r="J213" s="74"/>
      <c r="K213" s="75"/>
    </row>
    <row r="214">
      <c r="B214" s="73"/>
      <c r="J214" s="74"/>
      <c r="K214" s="75"/>
    </row>
    <row r="215">
      <c r="B215" s="73"/>
      <c r="J215" s="74"/>
      <c r="K215" s="75"/>
    </row>
    <row r="216">
      <c r="B216" s="73"/>
      <c r="J216" s="74"/>
      <c r="K216" s="75"/>
    </row>
    <row r="217">
      <c r="B217" s="73"/>
      <c r="J217" s="74"/>
      <c r="K217" s="75"/>
    </row>
    <row r="218">
      <c r="B218" s="73"/>
      <c r="J218" s="74"/>
      <c r="K218" s="75"/>
    </row>
    <row r="219">
      <c r="B219" s="73"/>
      <c r="J219" s="74"/>
      <c r="K219" s="75"/>
    </row>
    <row r="220">
      <c r="B220" s="73"/>
      <c r="J220" s="74"/>
      <c r="K220" s="75"/>
    </row>
    <row r="221">
      <c r="B221" s="73"/>
      <c r="J221" s="74"/>
      <c r="K221" s="75"/>
    </row>
    <row r="222">
      <c r="B222" s="73"/>
      <c r="J222" s="74"/>
      <c r="K222" s="75"/>
    </row>
    <row r="223">
      <c r="B223" s="73"/>
      <c r="J223" s="74"/>
      <c r="K223" s="75"/>
    </row>
    <row r="224">
      <c r="B224" s="73"/>
      <c r="J224" s="74"/>
      <c r="K224" s="75"/>
    </row>
    <row r="225">
      <c r="B225" s="73"/>
      <c r="J225" s="74"/>
      <c r="K225" s="75"/>
    </row>
    <row r="226">
      <c r="B226" s="73"/>
      <c r="J226" s="74"/>
      <c r="K226" s="75"/>
    </row>
    <row r="227">
      <c r="B227" s="73"/>
      <c r="J227" s="74"/>
      <c r="K227" s="75"/>
    </row>
    <row r="228">
      <c r="B228" s="73"/>
      <c r="J228" s="74"/>
      <c r="K228" s="75"/>
    </row>
    <row r="229">
      <c r="B229" s="73"/>
      <c r="J229" s="74"/>
      <c r="K229" s="75"/>
    </row>
    <row r="230">
      <c r="B230" s="73"/>
      <c r="J230" s="74"/>
      <c r="K230" s="75"/>
    </row>
    <row r="231">
      <c r="B231" s="73"/>
      <c r="J231" s="74"/>
      <c r="K231" s="75"/>
    </row>
    <row r="232">
      <c r="B232" s="73"/>
      <c r="J232" s="74"/>
      <c r="K232" s="75"/>
    </row>
    <row r="233">
      <c r="B233" s="73"/>
      <c r="J233" s="74"/>
      <c r="K233" s="75"/>
    </row>
    <row r="234">
      <c r="B234" s="73"/>
      <c r="J234" s="74"/>
      <c r="K234" s="75"/>
    </row>
    <row r="235">
      <c r="B235" s="73"/>
      <c r="J235" s="74"/>
      <c r="K235" s="75"/>
    </row>
    <row r="236">
      <c r="B236" s="73"/>
      <c r="J236" s="74"/>
      <c r="K236" s="75"/>
    </row>
    <row r="237">
      <c r="B237" s="73"/>
      <c r="J237" s="74"/>
      <c r="K237" s="75"/>
    </row>
    <row r="238">
      <c r="B238" s="73"/>
      <c r="J238" s="74"/>
      <c r="K238" s="75"/>
    </row>
    <row r="239">
      <c r="B239" s="73"/>
      <c r="J239" s="74"/>
      <c r="K239" s="75"/>
    </row>
    <row r="240">
      <c r="B240" s="73"/>
      <c r="J240" s="74"/>
      <c r="K240" s="75"/>
    </row>
    <row r="241">
      <c r="B241" s="73"/>
      <c r="J241" s="74"/>
      <c r="K241" s="75"/>
    </row>
    <row r="242">
      <c r="B242" s="73"/>
      <c r="J242" s="74"/>
      <c r="K242" s="75"/>
    </row>
    <row r="243">
      <c r="B243" s="73"/>
      <c r="J243" s="74"/>
      <c r="K243" s="75"/>
    </row>
    <row r="244">
      <c r="B244" s="73"/>
      <c r="J244" s="74"/>
      <c r="K244" s="75"/>
    </row>
    <row r="245">
      <c r="B245" s="73"/>
      <c r="J245" s="74"/>
      <c r="K245" s="75"/>
    </row>
    <row r="246">
      <c r="B246" s="73"/>
      <c r="J246" s="74"/>
      <c r="K246" s="75"/>
    </row>
    <row r="247">
      <c r="B247" s="73"/>
      <c r="J247" s="74"/>
      <c r="K247" s="75"/>
    </row>
    <row r="248">
      <c r="B248" s="73"/>
      <c r="J248" s="74"/>
      <c r="K248" s="75"/>
    </row>
    <row r="249">
      <c r="B249" s="73"/>
      <c r="J249" s="74"/>
      <c r="K249" s="75"/>
    </row>
    <row r="250">
      <c r="B250" s="73"/>
      <c r="J250" s="74"/>
      <c r="K250" s="75"/>
    </row>
    <row r="251">
      <c r="B251" s="73"/>
      <c r="J251" s="74"/>
      <c r="K251" s="75"/>
    </row>
    <row r="252">
      <c r="B252" s="73"/>
      <c r="J252" s="74"/>
      <c r="K252" s="75"/>
    </row>
    <row r="253">
      <c r="B253" s="73"/>
      <c r="J253" s="74"/>
      <c r="K253" s="75"/>
    </row>
    <row r="254">
      <c r="B254" s="73"/>
      <c r="J254" s="74"/>
      <c r="K254" s="75"/>
    </row>
    <row r="255">
      <c r="B255" s="73"/>
      <c r="J255" s="74"/>
      <c r="K255" s="75"/>
    </row>
    <row r="256">
      <c r="B256" s="73"/>
      <c r="J256" s="74"/>
      <c r="K256" s="75"/>
    </row>
    <row r="257">
      <c r="B257" s="73"/>
      <c r="J257" s="74"/>
      <c r="K257" s="75"/>
    </row>
    <row r="258">
      <c r="B258" s="73"/>
      <c r="J258" s="74"/>
      <c r="K258" s="75"/>
    </row>
    <row r="259">
      <c r="B259" s="73"/>
      <c r="J259" s="74"/>
      <c r="K259" s="75"/>
    </row>
    <row r="260">
      <c r="B260" s="73"/>
      <c r="J260" s="74"/>
      <c r="K260" s="75"/>
    </row>
    <row r="261">
      <c r="B261" s="73"/>
      <c r="J261" s="74"/>
      <c r="K261" s="75"/>
    </row>
    <row r="262">
      <c r="B262" s="73"/>
      <c r="J262" s="74"/>
      <c r="K262" s="75"/>
    </row>
    <row r="263">
      <c r="B263" s="73"/>
      <c r="J263" s="74"/>
      <c r="K263" s="75"/>
    </row>
    <row r="264">
      <c r="B264" s="73"/>
      <c r="J264" s="74"/>
      <c r="K264" s="75"/>
    </row>
    <row r="265">
      <c r="B265" s="73"/>
      <c r="J265" s="74"/>
      <c r="K265" s="75"/>
    </row>
    <row r="266">
      <c r="B266" s="73"/>
      <c r="J266" s="74"/>
      <c r="K266" s="75"/>
    </row>
    <row r="267">
      <c r="B267" s="73"/>
      <c r="J267" s="74"/>
      <c r="K267" s="75"/>
    </row>
    <row r="268">
      <c r="B268" s="73"/>
      <c r="J268" s="74"/>
      <c r="K268" s="75"/>
    </row>
    <row r="269">
      <c r="B269" s="73"/>
      <c r="J269" s="74"/>
      <c r="K269" s="75"/>
    </row>
    <row r="270">
      <c r="B270" s="73"/>
      <c r="J270" s="74"/>
      <c r="K270" s="75"/>
    </row>
    <row r="271">
      <c r="B271" s="73"/>
      <c r="J271" s="74"/>
      <c r="K271" s="75"/>
    </row>
    <row r="272">
      <c r="B272" s="73"/>
      <c r="J272" s="74"/>
      <c r="K272" s="75"/>
    </row>
    <row r="273">
      <c r="B273" s="73"/>
      <c r="J273" s="74"/>
      <c r="K273" s="75"/>
    </row>
    <row r="274">
      <c r="B274" s="73"/>
      <c r="J274" s="74"/>
      <c r="K274" s="75"/>
    </row>
    <row r="275">
      <c r="B275" s="73"/>
      <c r="J275" s="74"/>
      <c r="K275" s="75"/>
    </row>
    <row r="276">
      <c r="B276" s="73"/>
      <c r="J276" s="74"/>
      <c r="K276" s="75"/>
    </row>
    <row r="277">
      <c r="B277" s="73"/>
      <c r="J277" s="74"/>
      <c r="K277" s="75"/>
    </row>
    <row r="278">
      <c r="B278" s="73"/>
      <c r="J278" s="74"/>
      <c r="K278" s="75"/>
    </row>
    <row r="279">
      <c r="B279" s="73"/>
      <c r="J279" s="74"/>
      <c r="K279" s="75"/>
    </row>
    <row r="280">
      <c r="B280" s="73"/>
      <c r="J280" s="74"/>
      <c r="K280" s="75"/>
    </row>
    <row r="281">
      <c r="B281" s="73"/>
      <c r="J281" s="74"/>
      <c r="K281" s="75"/>
    </row>
    <row r="282">
      <c r="B282" s="73"/>
      <c r="J282" s="74"/>
      <c r="K282" s="75"/>
    </row>
    <row r="283">
      <c r="B283" s="73"/>
      <c r="J283" s="74"/>
      <c r="K283" s="75"/>
    </row>
    <row r="284">
      <c r="B284" s="73"/>
      <c r="J284" s="74"/>
      <c r="K284" s="75"/>
    </row>
    <row r="285">
      <c r="B285" s="73"/>
      <c r="J285" s="74"/>
      <c r="K285" s="75"/>
    </row>
    <row r="286">
      <c r="B286" s="73"/>
      <c r="J286" s="74"/>
      <c r="K286" s="75"/>
    </row>
    <row r="287">
      <c r="B287" s="73"/>
      <c r="J287" s="74"/>
      <c r="K287" s="75"/>
    </row>
    <row r="288">
      <c r="B288" s="73"/>
      <c r="J288" s="74"/>
      <c r="K288" s="75"/>
    </row>
    <row r="289">
      <c r="B289" s="73"/>
      <c r="J289" s="74"/>
      <c r="K289" s="75"/>
    </row>
    <row r="290">
      <c r="B290" s="73"/>
      <c r="J290" s="74"/>
      <c r="K290" s="75"/>
    </row>
    <row r="291">
      <c r="B291" s="73"/>
      <c r="J291" s="74"/>
      <c r="K291" s="75"/>
    </row>
    <row r="292">
      <c r="B292" s="73"/>
      <c r="J292" s="74"/>
      <c r="K292" s="75"/>
    </row>
    <row r="293">
      <c r="B293" s="73"/>
      <c r="J293" s="74"/>
      <c r="K293" s="75"/>
    </row>
    <row r="294">
      <c r="B294" s="73"/>
      <c r="J294" s="74"/>
      <c r="K294" s="75"/>
    </row>
    <row r="295">
      <c r="B295" s="73"/>
      <c r="J295" s="74"/>
      <c r="K295" s="75"/>
    </row>
    <row r="296">
      <c r="B296" s="73"/>
      <c r="J296" s="74"/>
      <c r="K296" s="75"/>
    </row>
    <row r="297">
      <c r="B297" s="73"/>
      <c r="J297" s="74"/>
      <c r="K297" s="75"/>
    </row>
    <row r="298">
      <c r="B298" s="73"/>
      <c r="J298" s="74"/>
      <c r="K298" s="75"/>
    </row>
    <row r="299">
      <c r="B299" s="73"/>
      <c r="J299" s="74"/>
      <c r="K299" s="75"/>
    </row>
    <row r="300">
      <c r="B300" s="73"/>
      <c r="J300" s="74"/>
      <c r="K300" s="75"/>
    </row>
    <row r="301">
      <c r="B301" s="73"/>
      <c r="J301" s="74"/>
      <c r="K301" s="75"/>
    </row>
    <row r="302">
      <c r="B302" s="73"/>
      <c r="J302" s="74"/>
      <c r="K302" s="75"/>
    </row>
    <row r="303">
      <c r="B303" s="73"/>
      <c r="J303" s="74"/>
      <c r="K303" s="75"/>
    </row>
    <row r="304">
      <c r="B304" s="73"/>
      <c r="J304" s="74"/>
      <c r="K304" s="75"/>
    </row>
    <row r="305">
      <c r="B305" s="73"/>
      <c r="J305" s="74"/>
      <c r="K305" s="75"/>
    </row>
    <row r="306">
      <c r="B306" s="73"/>
      <c r="J306" s="74"/>
      <c r="K306" s="75"/>
    </row>
    <row r="307">
      <c r="B307" s="73"/>
      <c r="J307" s="74"/>
      <c r="K307" s="75"/>
    </row>
    <row r="308">
      <c r="B308" s="73"/>
      <c r="J308" s="74"/>
      <c r="K308" s="75"/>
    </row>
    <row r="309">
      <c r="B309" s="73"/>
      <c r="J309" s="74"/>
      <c r="K309" s="75"/>
    </row>
    <row r="310">
      <c r="B310" s="73"/>
      <c r="J310" s="74"/>
      <c r="K310" s="75"/>
    </row>
    <row r="311">
      <c r="B311" s="73"/>
      <c r="J311" s="74"/>
      <c r="K311" s="75"/>
    </row>
    <row r="312">
      <c r="B312" s="73"/>
      <c r="J312" s="74"/>
      <c r="K312" s="75"/>
    </row>
    <row r="313">
      <c r="B313" s="73"/>
      <c r="J313" s="74"/>
      <c r="K313" s="75"/>
    </row>
    <row r="314">
      <c r="B314" s="73"/>
      <c r="J314" s="74"/>
      <c r="K314" s="75"/>
    </row>
    <row r="315">
      <c r="B315" s="73"/>
      <c r="J315" s="74"/>
      <c r="K315" s="75"/>
    </row>
    <row r="316">
      <c r="B316" s="73"/>
      <c r="J316" s="74"/>
      <c r="K316" s="75"/>
    </row>
    <row r="317">
      <c r="B317" s="73"/>
      <c r="J317" s="74"/>
      <c r="K317" s="75"/>
    </row>
    <row r="318">
      <c r="B318" s="73"/>
      <c r="J318" s="74"/>
      <c r="K318" s="75"/>
    </row>
    <row r="319">
      <c r="B319" s="73"/>
      <c r="J319" s="74"/>
      <c r="K319" s="75"/>
    </row>
    <row r="320">
      <c r="B320" s="73"/>
      <c r="J320" s="74"/>
      <c r="K320" s="75"/>
    </row>
    <row r="321">
      <c r="B321" s="73"/>
      <c r="J321" s="74"/>
      <c r="K321" s="75"/>
    </row>
    <row r="322">
      <c r="B322" s="73"/>
      <c r="J322" s="74"/>
      <c r="K322" s="75"/>
    </row>
    <row r="323">
      <c r="B323" s="73"/>
      <c r="J323" s="74"/>
      <c r="K323" s="75"/>
    </row>
    <row r="324">
      <c r="B324" s="73"/>
      <c r="J324" s="74"/>
      <c r="K324" s="75"/>
    </row>
    <row r="325">
      <c r="B325" s="73"/>
      <c r="J325" s="74"/>
      <c r="K325" s="75"/>
    </row>
    <row r="326">
      <c r="B326" s="73"/>
      <c r="J326" s="74"/>
      <c r="K326" s="75"/>
    </row>
    <row r="327">
      <c r="B327" s="73"/>
      <c r="J327" s="74"/>
      <c r="K327" s="75"/>
    </row>
    <row r="328">
      <c r="B328" s="73"/>
      <c r="J328" s="74"/>
      <c r="K328" s="75"/>
    </row>
    <row r="329">
      <c r="B329" s="73"/>
      <c r="J329" s="74"/>
      <c r="K329" s="75"/>
    </row>
    <row r="330">
      <c r="B330" s="73"/>
      <c r="J330" s="74"/>
      <c r="K330" s="75"/>
    </row>
    <row r="331">
      <c r="B331" s="73"/>
      <c r="J331" s="74"/>
      <c r="K331" s="75"/>
    </row>
    <row r="332">
      <c r="B332" s="73"/>
      <c r="J332" s="74"/>
      <c r="K332" s="75"/>
    </row>
    <row r="333">
      <c r="B333" s="73"/>
      <c r="J333" s="74"/>
      <c r="K333" s="75"/>
    </row>
    <row r="334">
      <c r="B334" s="73"/>
      <c r="J334" s="74"/>
      <c r="K334" s="75"/>
    </row>
    <row r="335">
      <c r="B335" s="73"/>
      <c r="J335" s="74"/>
      <c r="K335" s="75"/>
    </row>
    <row r="336">
      <c r="B336" s="73"/>
      <c r="J336" s="74"/>
      <c r="K336" s="75"/>
    </row>
    <row r="337">
      <c r="B337" s="73"/>
      <c r="J337" s="74"/>
      <c r="K337" s="75"/>
    </row>
    <row r="338">
      <c r="B338" s="73"/>
      <c r="J338" s="74"/>
      <c r="K338" s="75"/>
    </row>
    <row r="339">
      <c r="B339" s="73"/>
      <c r="J339" s="74"/>
      <c r="K339" s="75"/>
    </row>
    <row r="340">
      <c r="B340" s="73"/>
      <c r="J340" s="74"/>
      <c r="K340" s="75"/>
    </row>
    <row r="341">
      <c r="B341" s="73"/>
      <c r="J341" s="74"/>
      <c r="K341" s="75"/>
    </row>
    <row r="342">
      <c r="B342" s="73"/>
      <c r="J342" s="74"/>
      <c r="K342" s="75"/>
    </row>
    <row r="343">
      <c r="B343" s="73"/>
      <c r="J343" s="74"/>
      <c r="K343" s="75"/>
    </row>
    <row r="344">
      <c r="B344" s="73"/>
      <c r="J344" s="74"/>
      <c r="K344" s="75"/>
    </row>
    <row r="345">
      <c r="B345" s="73"/>
      <c r="J345" s="74"/>
      <c r="K345" s="75"/>
    </row>
    <row r="346">
      <c r="B346" s="73"/>
      <c r="J346" s="74"/>
      <c r="K346" s="75"/>
    </row>
    <row r="347">
      <c r="B347" s="73"/>
      <c r="J347" s="74"/>
      <c r="K347" s="75"/>
    </row>
    <row r="348">
      <c r="B348" s="73"/>
      <c r="J348" s="74"/>
      <c r="K348" s="75"/>
    </row>
    <row r="349">
      <c r="B349" s="73"/>
      <c r="J349" s="74"/>
      <c r="K349" s="75"/>
    </row>
    <row r="350">
      <c r="B350" s="73"/>
      <c r="J350" s="74"/>
      <c r="K350" s="75"/>
    </row>
    <row r="351">
      <c r="B351" s="73"/>
      <c r="J351" s="74"/>
      <c r="K351" s="75"/>
    </row>
    <row r="352">
      <c r="B352" s="73"/>
      <c r="J352" s="74"/>
      <c r="K352" s="75"/>
    </row>
    <row r="353">
      <c r="B353" s="73"/>
      <c r="J353" s="74"/>
      <c r="K353" s="75"/>
    </row>
    <row r="354">
      <c r="B354" s="73"/>
      <c r="J354" s="74"/>
      <c r="K354" s="75"/>
    </row>
    <row r="355">
      <c r="B355" s="73"/>
      <c r="J355" s="74"/>
      <c r="K355" s="75"/>
    </row>
    <row r="356">
      <c r="B356" s="73"/>
      <c r="J356" s="74"/>
      <c r="K356" s="75"/>
    </row>
    <row r="357">
      <c r="B357" s="73"/>
      <c r="J357" s="74"/>
      <c r="K357" s="75"/>
    </row>
    <row r="358">
      <c r="B358" s="73"/>
      <c r="J358" s="74"/>
      <c r="K358" s="75"/>
    </row>
    <row r="359">
      <c r="B359" s="73"/>
      <c r="J359" s="74"/>
      <c r="K359" s="75"/>
    </row>
    <row r="360">
      <c r="B360" s="73"/>
      <c r="J360" s="74"/>
      <c r="K360" s="75"/>
    </row>
    <row r="361">
      <c r="B361" s="73"/>
      <c r="J361" s="74"/>
      <c r="K361" s="75"/>
    </row>
    <row r="362">
      <c r="B362" s="73"/>
      <c r="J362" s="74"/>
      <c r="K362" s="75"/>
    </row>
    <row r="363">
      <c r="B363" s="73"/>
      <c r="J363" s="74"/>
      <c r="K363" s="75"/>
    </row>
    <row r="364">
      <c r="B364" s="73"/>
      <c r="J364" s="74"/>
      <c r="K364" s="75"/>
    </row>
    <row r="365">
      <c r="B365" s="73"/>
      <c r="J365" s="74"/>
      <c r="K365" s="75"/>
    </row>
    <row r="366">
      <c r="B366" s="73"/>
      <c r="J366" s="74"/>
      <c r="K366" s="75"/>
    </row>
    <row r="367">
      <c r="B367" s="73"/>
      <c r="J367" s="74"/>
      <c r="K367" s="75"/>
    </row>
    <row r="368">
      <c r="B368" s="73"/>
      <c r="J368" s="74"/>
      <c r="K368" s="75"/>
    </row>
    <row r="369">
      <c r="B369" s="73"/>
      <c r="J369" s="74"/>
      <c r="K369" s="75"/>
    </row>
    <row r="370">
      <c r="B370" s="73"/>
      <c r="J370" s="74"/>
      <c r="K370" s="75"/>
    </row>
    <row r="371">
      <c r="B371" s="73"/>
      <c r="J371" s="74"/>
      <c r="K371" s="75"/>
    </row>
    <row r="372">
      <c r="B372" s="73"/>
      <c r="J372" s="74"/>
      <c r="K372" s="75"/>
    </row>
    <row r="373">
      <c r="B373" s="73"/>
      <c r="J373" s="74"/>
      <c r="K373" s="75"/>
    </row>
    <row r="374">
      <c r="B374" s="73"/>
      <c r="J374" s="74"/>
      <c r="K374" s="75"/>
    </row>
    <row r="375">
      <c r="B375" s="73"/>
      <c r="J375" s="74"/>
      <c r="K375" s="75"/>
    </row>
    <row r="376">
      <c r="B376" s="73"/>
      <c r="J376" s="74"/>
      <c r="K376" s="75"/>
    </row>
    <row r="377">
      <c r="B377" s="73"/>
      <c r="J377" s="74"/>
      <c r="K377" s="75"/>
    </row>
    <row r="378">
      <c r="B378" s="73"/>
      <c r="J378" s="74"/>
      <c r="K378" s="75"/>
    </row>
    <row r="379">
      <c r="B379" s="73"/>
      <c r="J379" s="74"/>
      <c r="K379" s="75"/>
    </row>
    <row r="380">
      <c r="B380" s="73"/>
      <c r="J380" s="74"/>
      <c r="K380" s="75"/>
    </row>
    <row r="381">
      <c r="B381" s="73"/>
      <c r="J381" s="74"/>
      <c r="K381" s="75"/>
    </row>
    <row r="382">
      <c r="B382" s="73"/>
      <c r="J382" s="74"/>
      <c r="K382" s="75"/>
    </row>
    <row r="383">
      <c r="B383" s="73"/>
      <c r="J383" s="74"/>
      <c r="K383" s="75"/>
    </row>
    <row r="384">
      <c r="B384" s="73"/>
      <c r="J384" s="74"/>
      <c r="K384" s="75"/>
    </row>
    <row r="385">
      <c r="B385" s="73"/>
      <c r="J385" s="74"/>
      <c r="K385" s="75"/>
    </row>
    <row r="386">
      <c r="B386" s="73"/>
      <c r="J386" s="74"/>
      <c r="K386" s="75"/>
    </row>
    <row r="387">
      <c r="B387" s="73"/>
      <c r="J387" s="74"/>
      <c r="K387" s="75"/>
    </row>
    <row r="388">
      <c r="B388" s="73"/>
      <c r="J388" s="74"/>
      <c r="K388" s="75"/>
    </row>
    <row r="389">
      <c r="B389" s="73"/>
      <c r="J389" s="74"/>
      <c r="K389" s="75"/>
    </row>
    <row r="390">
      <c r="B390" s="73"/>
      <c r="J390" s="74"/>
      <c r="K390" s="75"/>
    </row>
    <row r="391">
      <c r="B391" s="73"/>
      <c r="J391" s="74"/>
      <c r="K391" s="75"/>
    </row>
    <row r="392">
      <c r="B392" s="73"/>
      <c r="J392" s="74"/>
      <c r="K392" s="75"/>
    </row>
    <row r="393">
      <c r="B393" s="73"/>
      <c r="J393" s="74"/>
      <c r="K393" s="75"/>
    </row>
    <row r="394">
      <c r="B394" s="73"/>
      <c r="J394" s="74"/>
      <c r="K394" s="75"/>
    </row>
    <row r="395">
      <c r="B395" s="73"/>
      <c r="J395" s="74"/>
      <c r="K395" s="75"/>
    </row>
    <row r="396">
      <c r="B396" s="73"/>
      <c r="J396" s="74"/>
      <c r="K396" s="75"/>
    </row>
    <row r="397">
      <c r="B397" s="73"/>
      <c r="J397" s="74"/>
      <c r="K397" s="75"/>
    </row>
    <row r="398">
      <c r="B398" s="73"/>
      <c r="J398" s="74"/>
      <c r="K398" s="75"/>
    </row>
    <row r="399">
      <c r="B399" s="73"/>
      <c r="J399" s="74"/>
      <c r="K399" s="75"/>
    </row>
    <row r="400">
      <c r="B400" s="73"/>
      <c r="J400" s="74"/>
      <c r="K400" s="75"/>
    </row>
    <row r="401">
      <c r="B401" s="73"/>
      <c r="J401" s="74"/>
      <c r="K401" s="75"/>
    </row>
    <row r="402">
      <c r="B402" s="73"/>
      <c r="J402" s="74"/>
      <c r="K402" s="75"/>
    </row>
    <row r="403">
      <c r="B403" s="73"/>
      <c r="J403" s="74"/>
      <c r="K403" s="75"/>
    </row>
    <row r="404">
      <c r="B404" s="73"/>
      <c r="J404" s="74"/>
      <c r="K404" s="75"/>
    </row>
    <row r="405">
      <c r="B405" s="73"/>
      <c r="J405" s="74"/>
      <c r="K405" s="75"/>
    </row>
    <row r="406">
      <c r="B406" s="73"/>
      <c r="J406" s="74"/>
      <c r="K406" s="75"/>
    </row>
    <row r="407">
      <c r="B407" s="73"/>
      <c r="J407" s="74"/>
      <c r="K407" s="75"/>
    </row>
    <row r="408">
      <c r="B408" s="73"/>
      <c r="J408" s="74"/>
      <c r="K408" s="75"/>
    </row>
    <row r="409">
      <c r="B409" s="73"/>
      <c r="J409" s="74"/>
      <c r="K409" s="75"/>
    </row>
    <row r="410">
      <c r="B410" s="73"/>
      <c r="J410" s="74"/>
      <c r="K410" s="75"/>
    </row>
    <row r="411">
      <c r="B411" s="73"/>
      <c r="J411" s="74"/>
      <c r="K411" s="75"/>
    </row>
    <row r="412">
      <c r="B412" s="73"/>
      <c r="J412" s="74"/>
      <c r="K412" s="75"/>
    </row>
    <row r="413">
      <c r="B413" s="73"/>
      <c r="J413" s="74"/>
      <c r="K413" s="75"/>
    </row>
    <row r="414">
      <c r="B414" s="73"/>
      <c r="J414" s="74"/>
      <c r="K414" s="75"/>
    </row>
    <row r="415">
      <c r="B415" s="73"/>
      <c r="J415" s="74"/>
      <c r="K415" s="75"/>
    </row>
    <row r="416">
      <c r="B416" s="73"/>
      <c r="J416" s="74"/>
      <c r="K416" s="75"/>
    </row>
    <row r="417">
      <c r="B417" s="73"/>
      <c r="J417" s="74"/>
      <c r="K417" s="75"/>
    </row>
    <row r="418">
      <c r="B418" s="73"/>
      <c r="J418" s="74"/>
      <c r="K418" s="75"/>
    </row>
    <row r="419">
      <c r="B419" s="73"/>
      <c r="J419" s="74"/>
      <c r="K419" s="75"/>
    </row>
    <row r="420">
      <c r="B420" s="73"/>
      <c r="J420" s="74"/>
      <c r="K420" s="75"/>
    </row>
    <row r="421">
      <c r="B421" s="73"/>
      <c r="J421" s="74"/>
      <c r="K421" s="75"/>
    </row>
    <row r="422">
      <c r="B422" s="73"/>
      <c r="J422" s="74"/>
      <c r="K422" s="75"/>
    </row>
    <row r="423">
      <c r="B423" s="73"/>
      <c r="J423" s="74"/>
      <c r="K423" s="75"/>
    </row>
    <row r="424">
      <c r="B424" s="73"/>
      <c r="J424" s="74"/>
      <c r="K424" s="75"/>
    </row>
    <row r="425">
      <c r="B425" s="73"/>
      <c r="J425" s="74"/>
      <c r="K425" s="75"/>
    </row>
    <row r="426">
      <c r="B426" s="73"/>
      <c r="J426" s="74"/>
      <c r="K426" s="75"/>
    </row>
    <row r="427">
      <c r="B427" s="73"/>
      <c r="J427" s="74"/>
      <c r="K427" s="75"/>
    </row>
    <row r="428">
      <c r="B428" s="73"/>
      <c r="J428" s="74"/>
      <c r="K428" s="75"/>
    </row>
    <row r="429">
      <c r="B429" s="73"/>
      <c r="J429" s="74"/>
      <c r="K429" s="75"/>
    </row>
    <row r="430">
      <c r="B430" s="73"/>
      <c r="J430" s="74"/>
      <c r="K430" s="75"/>
    </row>
    <row r="431">
      <c r="B431" s="73"/>
      <c r="J431" s="74"/>
      <c r="K431" s="75"/>
    </row>
    <row r="432">
      <c r="B432" s="73"/>
      <c r="J432" s="74"/>
      <c r="K432" s="75"/>
    </row>
    <row r="433">
      <c r="B433" s="73"/>
      <c r="J433" s="74"/>
      <c r="K433" s="75"/>
    </row>
    <row r="434">
      <c r="B434" s="73"/>
      <c r="J434" s="74"/>
      <c r="K434" s="75"/>
    </row>
    <row r="435">
      <c r="B435" s="73"/>
      <c r="J435" s="74"/>
      <c r="K435" s="75"/>
    </row>
    <row r="436">
      <c r="B436" s="73"/>
      <c r="J436" s="74"/>
      <c r="K436" s="75"/>
    </row>
    <row r="437">
      <c r="B437" s="73"/>
      <c r="J437" s="74"/>
      <c r="K437" s="75"/>
    </row>
    <row r="438">
      <c r="B438" s="73"/>
      <c r="J438" s="74"/>
      <c r="K438" s="75"/>
    </row>
    <row r="439">
      <c r="B439" s="73"/>
      <c r="J439" s="74"/>
      <c r="K439" s="75"/>
    </row>
    <row r="440">
      <c r="B440" s="73"/>
      <c r="J440" s="74"/>
      <c r="K440" s="75"/>
    </row>
    <row r="441">
      <c r="B441" s="73"/>
      <c r="J441" s="74"/>
      <c r="K441" s="75"/>
    </row>
    <row r="442">
      <c r="B442" s="73"/>
      <c r="J442" s="74"/>
      <c r="K442" s="75"/>
    </row>
    <row r="443">
      <c r="B443" s="73"/>
      <c r="J443" s="74"/>
      <c r="K443" s="75"/>
    </row>
    <row r="444">
      <c r="B444" s="73"/>
      <c r="J444" s="74"/>
      <c r="K444" s="75"/>
    </row>
    <row r="445">
      <c r="B445" s="73"/>
      <c r="J445" s="74"/>
      <c r="K445" s="75"/>
    </row>
    <row r="446">
      <c r="B446" s="73"/>
      <c r="J446" s="74"/>
      <c r="K446" s="75"/>
    </row>
    <row r="447">
      <c r="B447" s="73"/>
      <c r="J447" s="74"/>
      <c r="K447" s="75"/>
    </row>
    <row r="448">
      <c r="B448" s="73"/>
      <c r="J448" s="74"/>
      <c r="K448" s="75"/>
    </row>
    <row r="449">
      <c r="B449" s="73"/>
      <c r="J449" s="74"/>
      <c r="K449" s="75"/>
    </row>
    <row r="450">
      <c r="B450" s="73"/>
      <c r="J450" s="74"/>
      <c r="K450" s="75"/>
    </row>
    <row r="451">
      <c r="B451" s="73"/>
      <c r="J451" s="74"/>
      <c r="K451" s="75"/>
    </row>
    <row r="452">
      <c r="B452" s="73"/>
      <c r="J452" s="74"/>
      <c r="K452" s="75"/>
    </row>
    <row r="453">
      <c r="B453" s="73"/>
      <c r="J453" s="74"/>
      <c r="K453" s="75"/>
    </row>
    <row r="454">
      <c r="B454" s="73"/>
      <c r="J454" s="74"/>
      <c r="K454" s="75"/>
    </row>
    <row r="455">
      <c r="B455" s="73"/>
      <c r="J455" s="74"/>
      <c r="K455" s="75"/>
    </row>
    <row r="456">
      <c r="B456" s="73"/>
      <c r="J456" s="74"/>
      <c r="K456" s="75"/>
    </row>
    <row r="457">
      <c r="B457" s="73"/>
      <c r="J457" s="74"/>
      <c r="K457" s="75"/>
    </row>
    <row r="458">
      <c r="B458" s="73"/>
      <c r="J458" s="74"/>
      <c r="K458" s="75"/>
    </row>
    <row r="459">
      <c r="B459" s="73"/>
      <c r="J459" s="74"/>
      <c r="K459" s="75"/>
    </row>
    <row r="460">
      <c r="B460" s="73"/>
      <c r="J460" s="74"/>
      <c r="K460" s="75"/>
    </row>
    <row r="461">
      <c r="B461" s="73"/>
      <c r="J461" s="74"/>
      <c r="K461" s="75"/>
    </row>
    <row r="462">
      <c r="B462" s="73"/>
      <c r="J462" s="74"/>
      <c r="K462" s="75"/>
    </row>
    <row r="463">
      <c r="B463" s="73"/>
      <c r="J463" s="74"/>
      <c r="K463" s="75"/>
    </row>
    <row r="464">
      <c r="B464" s="73"/>
      <c r="J464" s="74"/>
      <c r="K464" s="75"/>
    </row>
    <row r="465">
      <c r="B465" s="73"/>
      <c r="J465" s="74"/>
      <c r="K465" s="75"/>
    </row>
    <row r="466">
      <c r="B466" s="73"/>
      <c r="J466" s="74"/>
      <c r="K466" s="75"/>
    </row>
    <row r="467">
      <c r="B467" s="73"/>
      <c r="J467" s="74"/>
      <c r="K467" s="75"/>
    </row>
    <row r="468">
      <c r="B468" s="73"/>
      <c r="J468" s="74"/>
      <c r="K468" s="75"/>
    </row>
    <row r="469">
      <c r="B469" s="73"/>
      <c r="J469" s="74"/>
      <c r="K469" s="75"/>
    </row>
    <row r="470">
      <c r="B470" s="73"/>
      <c r="J470" s="74"/>
      <c r="K470" s="75"/>
    </row>
    <row r="471">
      <c r="B471" s="73"/>
      <c r="J471" s="74"/>
      <c r="K471" s="75"/>
    </row>
    <row r="472">
      <c r="B472" s="73"/>
      <c r="J472" s="74"/>
      <c r="K472" s="75"/>
    </row>
    <row r="473">
      <c r="B473" s="73"/>
      <c r="J473" s="74"/>
      <c r="K473" s="75"/>
    </row>
    <row r="474">
      <c r="B474" s="73"/>
      <c r="J474" s="74"/>
      <c r="K474" s="75"/>
    </row>
    <row r="475">
      <c r="B475" s="73"/>
      <c r="J475" s="74"/>
      <c r="K475" s="75"/>
    </row>
    <row r="476">
      <c r="B476" s="73"/>
      <c r="J476" s="74"/>
      <c r="K476" s="75"/>
    </row>
    <row r="477">
      <c r="B477" s="73"/>
      <c r="J477" s="74"/>
      <c r="K477" s="75"/>
    </row>
    <row r="478">
      <c r="B478" s="73"/>
      <c r="J478" s="74"/>
      <c r="K478" s="75"/>
    </row>
    <row r="479">
      <c r="B479" s="73"/>
      <c r="J479" s="74"/>
      <c r="K479" s="75"/>
    </row>
    <row r="480">
      <c r="B480" s="73"/>
      <c r="J480" s="74"/>
      <c r="K480" s="75"/>
    </row>
    <row r="481">
      <c r="B481" s="73"/>
      <c r="J481" s="74"/>
      <c r="K481" s="75"/>
    </row>
    <row r="482">
      <c r="B482" s="73"/>
      <c r="J482" s="74"/>
      <c r="K482" s="75"/>
    </row>
    <row r="483">
      <c r="B483" s="73"/>
      <c r="J483" s="74"/>
      <c r="K483" s="75"/>
    </row>
    <row r="484">
      <c r="B484" s="73"/>
      <c r="J484" s="74"/>
      <c r="K484" s="75"/>
    </row>
    <row r="485">
      <c r="B485" s="73"/>
      <c r="J485" s="74"/>
      <c r="K485" s="75"/>
    </row>
    <row r="486">
      <c r="B486" s="73"/>
      <c r="J486" s="74"/>
      <c r="K486" s="75"/>
    </row>
    <row r="487">
      <c r="B487" s="73"/>
      <c r="J487" s="74"/>
      <c r="K487" s="75"/>
    </row>
    <row r="488">
      <c r="B488" s="73"/>
      <c r="J488" s="74"/>
      <c r="K488" s="75"/>
    </row>
    <row r="489">
      <c r="B489" s="73"/>
      <c r="J489" s="74"/>
      <c r="K489" s="75"/>
    </row>
    <row r="490">
      <c r="B490" s="73"/>
      <c r="J490" s="74"/>
      <c r="K490" s="75"/>
    </row>
    <row r="491">
      <c r="B491" s="73"/>
      <c r="J491" s="74"/>
      <c r="K491" s="75"/>
    </row>
    <row r="492">
      <c r="B492" s="73"/>
      <c r="J492" s="74"/>
      <c r="K492" s="75"/>
    </row>
    <row r="493">
      <c r="B493" s="73"/>
      <c r="J493" s="74"/>
      <c r="K493" s="75"/>
    </row>
    <row r="494">
      <c r="B494" s="73"/>
      <c r="J494" s="74"/>
      <c r="K494" s="75"/>
    </row>
    <row r="495">
      <c r="B495" s="73"/>
      <c r="J495" s="74"/>
      <c r="K495" s="75"/>
    </row>
    <row r="496">
      <c r="B496" s="73"/>
      <c r="J496" s="74"/>
      <c r="K496" s="75"/>
    </row>
    <row r="497">
      <c r="B497" s="73"/>
      <c r="J497" s="74"/>
      <c r="K497" s="75"/>
    </row>
    <row r="498">
      <c r="B498" s="73"/>
      <c r="J498" s="74"/>
      <c r="K498" s="75"/>
    </row>
    <row r="499">
      <c r="B499" s="73"/>
      <c r="J499" s="74"/>
      <c r="K499" s="75"/>
    </row>
    <row r="500">
      <c r="B500" s="73"/>
      <c r="J500" s="74"/>
      <c r="K500" s="75"/>
    </row>
    <row r="501">
      <c r="B501" s="73"/>
      <c r="J501" s="74"/>
      <c r="K501" s="75"/>
    </row>
    <row r="502">
      <c r="B502" s="73"/>
      <c r="J502" s="74"/>
      <c r="K502" s="75"/>
    </row>
    <row r="503">
      <c r="B503" s="73"/>
      <c r="J503" s="74"/>
      <c r="K503" s="75"/>
    </row>
    <row r="504">
      <c r="B504" s="73"/>
      <c r="J504" s="74"/>
      <c r="K504" s="75"/>
    </row>
    <row r="505">
      <c r="B505" s="73"/>
      <c r="J505" s="74"/>
      <c r="K505" s="75"/>
    </row>
    <row r="506">
      <c r="B506" s="73"/>
      <c r="J506" s="74"/>
      <c r="K506" s="75"/>
    </row>
    <row r="507">
      <c r="B507" s="73"/>
      <c r="J507" s="74"/>
      <c r="K507" s="75"/>
    </row>
    <row r="508">
      <c r="B508" s="73"/>
      <c r="J508" s="74"/>
      <c r="K508" s="75"/>
    </row>
    <row r="509">
      <c r="B509" s="73"/>
      <c r="J509" s="74"/>
      <c r="K509" s="75"/>
    </row>
    <row r="510">
      <c r="B510" s="73"/>
      <c r="J510" s="74"/>
      <c r="K510" s="75"/>
    </row>
    <row r="511">
      <c r="B511" s="73"/>
      <c r="J511" s="74"/>
      <c r="K511" s="75"/>
    </row>
    <row r="512">
      <c r="B512" s="73"/>
      <c r="J512" s="74"/>
      <c r="K512" s="75"/>
    </row>
    <row r="513">
      <c r="B513" s="73"/>
      <c r="J513" s="74"/>
      <c r="K513" s="75"/>
    </row>
    <row r="514">
      <c r="B514" s="73"/>
      <c r="J514" s="74"/>
      <c r="K514" s="75"/>
    </row>
    <row r="515">
      <c r="B515" s="73"/>
      <c r="J515" s="74"/>
      <c r="K515" s="75"/>
    </row>
    <row r="516">
      <c r="B516" s="73"/>
      <c r="J516" s="74"/>
      <c r="K516" s="75"/>
    </row>
    <row r="517">
      <c r="B517" s="73"/>
      <c r="J517" s="74"/>
      <c r="K517" s="75"/>
    </row>
    <row r="518">
      <c r="B518" s="73"/>
      <c r="J518" s="74"/>
      <c r="K518" s="75"/>
    </row>
    <row r="519">
      <c r="B519" s="73"/>
      <c r="J519" s="74"/>
      <c r="K519" s="75"/>
    </row>
    <row r="520">
      <c r="B520" s="73"/>
      <c r="J520" s="74"/>
      <c r="K520" s="75"/>
    </row>
    <row r="521">
      <c r="B521" s="73"/>
      <c r="J521" s="74"/>
      <c r="K521" s="75"/>
    </row>
    <row r="522">
      <c r="B522" s="73"/>
      <c r="J522" s="74"/>
      <c r="K522" s="75"/>
    </row>
    <row r="523">
      <c r="B523" s="73"/>
      <c r="J523" s="74"/>
      <c r="K523" s="75"/>
    </row>
    <row r="524">
      <c r="B524" s="73"/>
      <c r="J524" s="74"/>
      <c r="K524" s="75"/>
    </row>
    <row r="525">
      <c r="B525" s="73"/>
      <c r="J525" s="74"/>
      <c r="K525" s="75"/>
    </row>
    <row r="526">
      <c r="B526" s="73"/>
      <c r="J526" s="74"/>
      <c r="K526" s="75"/>
    </row>
    <row r="527">
      <c r="B527" s="73"/>
      <c r="J527" s="74"/>
      <c r="K527" s="75"/>
    </row>
    <row r="528">
      <c r="B528" s="73"/>
      <c r="J528" s="74"/>
      <c r="K528" s="75"/>
    </row>
    <row r="529">
      <c r="B529" s="73"/>
      <c r="J529" s="74"/>
      <c r="K529" s="75"/>
    </row>
    <row r="530">
      <c r="B530" s="73"/>
      <c r="J530" s="74"/>
      <c r="K530" s="75"/>
    </row>
    <row r="531">
      <c r="B531" s="73"/>
      <c r="J531" s="74"/>
      <c r="K531" s="75"/>
    </row>
    <row r="532">
      <c r="B532" s="73"/>
      <c r="J532" s="74"/>
      <c r="K532" s="75"/>
    </row>
    <row r="533">
      <c r="B533" s="73"/>
      <c r="J533" s="74"/>
      <c r="K533" s="75"/>
    </row>
    <row r="534">
      <c r="B534" s="73"/>
      <c r="J534" s="74"/>
      <c r="K534" s="75"/>
    </row>
    <row r="535">
      <c r="B535" s="73"/>
      <c r="J535" s="74"/>
      <c r="K535" s="75"/>
    </row>
    <row r="536">
      <c r="B536" s="73"/>
      <c r="J536" s="74"/>
      <c r="K536" s="75"/>
    </row>
    <row r="537">
      <c r="B537" s="73"/>
      <c r="J537" s="74"/>
      <c r="K537" s="75"/>
    </row>
    <row r="538">
      <c r="B538" s="73"/>
      <c r="J538" s="74"/>
      <c r="K538" s="75"/>
    </row>
    <row r="539">
      <c r="B539" s="73"/>
      <c r="J539" s="74"/>
      <c r="K539" s="75"/>
    </row>
    <row r="540">
      <c r="B540" s="73"/>
      <c r="J540" s="74"/>
      <c r="K540" s="75"/>
    </row>
    <row r="541">
      <c r="B541" s="73"/>
      <c r="J541" s="74"/>
      <c r="K541" s="75"/>
    </row>
    <row r="542">
      <c r="B542" s="73"/>
      <c r="J542" s="74"/>
      <c r="K542" s="75"/>
    </row>
    <row r="543">
      <c r="B543" s="73"/>
      <c r="J543" s="74"/>
      <c r="K543" s="75"/>
    </row>
    <row r="544">
      <c r="B544" s="73"/>
      <c r="J544" s="74"/>
      <c r="K544" s="75"/>
    </row>
    <row r="545">
      <c r="B545" s="73"/>
      <c r="J545" s="74"/>
      <c r="K545" s="75"/>
    </row>
    <row r="546">
      <c r="B546" s="73"/>
      <c r="J546" s="74"/>
      <c r="K546" s="75"/>
    </row>
    <row r="547">
      <c r="B547" s="73"/>
      <c r="J547" s="74"/>
      <c r="K547" s="75"/>
    </row>
    <row r="548">
      <c r="B548" s="73"/>
      <c r="J548" s="74"/>
      <c r="K548" s="75"/>
    </row>
    <row r="549">
      <c r="B549" s="73"/>
      <c r="J549" s="74"/>
      <c r="K549" s="75"/>
    </row>
    <row r="550">
      <c r="B550" s="73"/>
      <c r="J550" s="74"/>
      <c r="K550" s="75"/>
    </row>
    <row r="551">
      <c r="B551" s="73"/>
      <c r="J551" s="74"/>
      <c r="K551" s="75"/>
    </row>
    <row r="552">
      <c r="B552" s="73"/>
      <c r="J552" s="74"/>
      <c r="K552" s="75"/>
    </row>
    <row r="553">
      <c r="B553" s="73"/>
      <c r="J553" s="74"/>
      <c r="K553" s="75"/>
    </row>
    <row r="554">
      <c r="B554" s="73"/>
      <c r="J554" s="74"/>
      <c r="K554" s="75"/>
    </row>
    <row r="555">
      <c r="B555" s="73"/>
      <c r="J555" s="74"/>
      <c r="K555" s="75"/>
    </row>
    <row r="556">
      <c r="B556" s="73"/>
      <c r="J556" s="74"/>
      <c r="K556" s="75"/>
    </row>
    <row r="557">
      <c r="B557" s="73"/>
      <c r="J557" s="74"/>
      <c r="K557" s="75"/>
    </row>
    <row r="558">
      <c r="B558" s="73"/>
      <c r="J558" s="74"/>
      <c r="K558" s="75"/>
    </row>
    <row r="559">
      <c r="B559" s="73"/>
      <c r="J559" s="74"/>
      <c r="K559" s="75"/>
    </row>
    <row r="560">
      <c r="B560" s="73"/>
      <c r="J560" s="74"/>
      <c r="K560" s="75"/>
    </row>
    <row r="561">
      <c r="B561" s="73"/>
      <c r="J561" s="74"/>
      <c r="K561" s="75"/>
    </row>
    <row r="562">
      <c r="B562" s="73"/>
      <c r="J562" s="74"/>
      <c r="K562" s="75"/>
    </row>
    <row r="563">
      <c r="B563" s="73"/>
      <c r="J563" s="74"/>
      <c r="K563" s="75"/>
    </row>
    <row r="564">
      <c r="B564" s="73"/>
      <c r="J564" s="74"/>
      <c r="K564" s="75"/>
    </row>
    <row r="565">
      <c r="B565" s="73"/>
      <c r="J565" s="74"/>
      <c r="K565" s="75"/>
    </row>
    <row r="566">
      <c r="B566" s="73"/>
      <c r="J566" s="74"/>
      <c r="K566" s="75"/>
    </row>
    <row r="567">
      <c r="B567" s="73"/>
      <c r="J567" s="74"/>
      <c r="K567" s="75"/>
    </row>
    <row r="568">
      <c r="B568" s="73"/>
      <c r="J568" s="74"/>
      <c r="K568" s="75"/>
    </row>
    <row r="569">
      <c r="B569" s="73"/>
      <c r="J569" s="74"/>
      <c r="K569" s="75"/>
    </row>
    <row r="570">
      <c r="B570" s="73"/>
      <c r="J570" s="74"/>
      <c r="K570" s="75"/>
    </row>
    <row r="571">
      <c r="B571" s="73"/>
      <c r="J571" s="74"/>
      <c r="K571" s="75"/>
    </row>
    <row r="572">
      <c r="B572" s="73"/>
      <c r="J572" s="74"/>
      <c r="K572" s="75"/>
    </row>
    <row r="573">
      <c r="B573" s="73"/>
      <c r="J573" s="74"/>
      <c r="K573" s="75"/>
    </row>
    <row r="574">
      <c r="B574" s="73"/>
      <c r="J574" s="74"/>
      <c r="K574" s="75"/>
    </row>
    <row r="575">
      <c r="B575" s="73"/>
      <c r="J575" s="74"/>
      <c r="K575" s="75"/>
    </row>
    <row r="576">
      <c r="B576" s="73"/>
      <c r="J576" s="74"/>
      <c r="K576" s="75"/>
    </row>
    <row r="577">
      <c r="B577" s="73"/>
      <c r="J577" s="74"/>
      <c r="K577" s="75"/>
    </row>
    <row r="578">
      <c r="B578" s="73"/>
      <c r="J578" s="74"/>
      <c r="K578" s="75"/>
    </row>
    <row r="579">
      <c r="B579" s="73"/>
      <c r="J579" s="74"/>
      <c r="K579" s="75"/>
    </row>
    <row r="580">
      <c r="B580" s="73"/>
      <c r="J580" s="74"/>
      <c r="K580" s="75"/>
    </row>
    <row r="581">
      <c r="B581" s="73"/>
      <c r="J581" s="74"/>
      <c r="K581" s="75"/>
    </row>
    <row r="582">
      <c r="B582" s="73"/>
      <c r="J582" s="74"/>
      <c r="K582" s="75"/>
    </row>
    <row r="583">
      <c r="B583" s="73"/>
      <c r="J583" s="74"/>
      <c r="K583" s="75"/>
    </row>
    <row r="584">
      <c r="B584" s="73"/>
      <c r="J584" s="74"/>
      <c r="K584" s="75"/>
    </row>
    <row r="585">
      <c r="B585" s="73"/>
      <c r="J585" s="74"/>
      <c r="K585" s="75"/>
    </row>
    <row r="586">
      <c r="B586" s="73"/>
      <c r="J586" s="74"/>
      <c r="K586" s="75"/>
    </row>
    <row r="587">
      <c r="B587" s="73"/>
      <c r="J587" s="74"/>
      <c r="K587" s="75"/>
    </row>
    <row r="588">
      <c r="B588" s="73"/>
      <c r="J588" s="74"/>
      <c r="K588" s="75"/>
    </row>
    <row r="589">
      <c r="B589" s="73"/>
      <c r="J589" s="74"/>
      <c r="K589" s="75"/>
    </row>
    <row r="590">
      <c r="B590" s="73"/>
      <c r="J590" s="74"/>
      <c r="K590" s="75"/>
    </row>
    <row r="591">
      <c r="B591" s="73"/>
      <c r="J591" s="74"/>
      <c r="K591" s="75"/>
    </row>
    <row r="592">
      <c r="B592" s="73"/>
      <c r="J592" s="74"/>
      <c r="K592" s="75"/>
    </row>
    <row r="593">
      <c r="B593" s="73"/>
      <c r="J593" s="74"/>
      <c r="K593" s="75"/>
    </row>
    <row r="594">
      <c r="B594" s="73"/>
      <c r="J594" s="74"/>
      <c r="K594" s="75"/>
    </row>
    <row r="595">
      <c r="B595" s="73"/>
      <c r="J595" s="74"/>
      <c r="K595" s="75"/>
    </row>
    <row r="596">
      <c r="B596" s="73"/>
      <c r="J596" s="74"/>
      <c r="K596" s="75"/>
    </row>
    <row r="597">
      <c r="B597" s="73"/>
      <c r="J597" s="74"/>
      <c r="K597" s="75"/>
    </row>
    <row r="598">
      <c r="B598" s="73"/>
      <c r="J598" s="74"/>
      <c r="K598" s="75"/>
    </row>
    <row r="599">
      <c r="B599" s="73"/>
      <c r="J599" s="74"/>
      <c r="K599" s="75"/>
    </row>
    <row r="600">
      <c r="B600" s="73"/>
      <c r="J600" s="74"/>
      <c r="K600" s="75"/>
    </row>
    <row r="601">
      <c r="B601" s="73"/>
      <c r="J601" s="74"/>
      <c r="K601" s="75"/>
    </row>
    <row r="602">
      <c r="B602" s="73"/>
      <c r="J602" s="74"/>
      <c r="K602" s="75"/>
    </row>
    <row r="603">
      <c r="B603" s="73"/>
      <c r="J603" s="74"/>
      <c r="K603" s="75"/>
    </row>
    <row r="604">
      <c r="B604" s="73"/>
      <c r="J604" s="74"/>
      <c r="K604" s="75"/>
    </row>
    <row r="605">
      <c r="B605" s="73"/>
      <c r="J605" s="74"/>
      <c r="K605" s="75"/>
    </row>
    <row r="606">
      <c r="B606" s="73"/>
      <c r="J606" s="74"/>
      <c r="K606" s="75"/>
    </row>
    <row r="607">
      <c r="B607" s="73"/>
      <c r="J607" s="74"/>
      <c r="K607" s="75"/>
    </row>
    <row r="608">
      <c r="B608" s="73"/>
      <c r="J608" s="74"/>
      <c r="K608" s="75"/>
    </row>
    <row r="609">
      <c r="B609" s="73"/>
      <c r="J609" s="74"/>
      <c r="K609" s="75"/>
    </row>
    <row r="610">
      <c r="B610" s="73"/>
      <c r="J610" s="74"/>
      <c r="K610" s="75"/>
    </row>
    <row r="611">
      <c r="B611" s="73"/>
      <c r="J611" s="74"/>
      <c r="K611" s="75"/>
    </row>
    <row r="612">
      <c r="B612" s="73"/>
      <c r="J612" s="74"/>
      <c r="K612" s="75"/>
    </row>
    <row r="613">
      <c r="B613" s="73"/>
      <c r="J613" s="74"/>
      <c r="K613" s="75"/>
    </row>
    <row r="614">
      <c r="B614" s="73"/>
      <c r="J614" s="74"/>
      <c r="K614" s="75"/>
    </row>
    <row r="615">
      <c r="B615" s="73"/>
      <c r="J615" s="74"/>
      <c r="K615" s="75"/>
    </row>
    <row r="616">
      <c r="B616" s="73"/>
      <c r="J616" s="74"/>
      <c r="K616" s="75"/>
    </row>
    <row r="617">
      <c r="B617" s="73"/>
      <c r="J617" s="74"/>
      <c r="K617" s="75"/>
    </row>
    <row r="618">
      <c r="B618" s="73"/>
      <c r="J618" s="74"/>
      <c r="K618" s="75"/>
    </row>
    <row r="619">
      <c r="B619" s="73"/>
      <c r="J619" s="74"/>
      <c r="K619" s="75"/>
    </row>
    <row r="620">
      <c r="B620" s="73"/>
      <c r="J620" s="74"/>
      <c r="K620" s="75"/>
    </row>
    <row r="621">
      <c r="B621" s="73"/>
      <c r="J621" s="74"/>
      <c r="K621" s="75"/>
    </row>
    <row r="622">
      <c r="B622" s="73"/>
      <c r="J622" s="74"/>
      <c r="K622" s="75"/>
    </row>
    <row r="623">
      <c r="B623" s="73"/>
      <c r="J623" s="74"/>
      <c r="K623" s="75"/>
    </row>
    <row r="624">
      <c r="B624" s="73"/>
      <c r="J624" s="74"/>
      <c r="K624" s="75"/>
    </row>
    <row r="625">
      <c r="B625" s="73"/>
      <c r="J625" s="74"/>
      <c r="K625" s="75"/>
    </row>
    <row r="626">
      <c r="B626" s="73"/>
      <c r="J626" s="74"/>
      <c r="K626" s="75"/>
    </row>
    <row r="627">
      <c r="B627" s="73"/>
      <c r="J627" s="74"/>
      <c r="K627" s="75"/>
    </row>
    <row r="628">
      <c r="B628" s="73"/>
      <c r="J628" s="74"/>
      <c r="K628" s="75"/>
    </row>
    <row r="629">
      <c r="B629" s="73"/>
      <c r="J629" s="74"/>
      <c r="K629" s="75"/>
    </row>
    <row r="630">
      <c r="B630" s="73"/>
      <c r="J630" s="74"/>
      <c r="K630" s="75"/>
    </row>
    <row r="631">
      <c r="B631" s="73"/>
      <c r="J631" s="74"/>
      <c r="K631" s="75"/>
    </row>
    <row r="632">
      <c r="B632" s="73"/>
      <c r="J632" s="74"/>
      <c r="K632" s="75"/>
    </row>
    <row r="633">
      <c r="B633" s="73"/>
      <c r="J633" s="74"/>
      <c r="K633" s="75"/>
    </row>
    <row r="634">
      <c r="B634" s="73"/>
      <c r="J634" s="74"/>
      <c r="K634" s="75"/>
    </row>
    <row r="635">
      <c r="B635" s="73"/>
      <c r="J635" s="74"/>
      <c r="K635" s="75"/>
    </row>
    <row r="636">
      <c r="B636" s="73"/>
      <c r="J636" s="74"/>
      <c r="K636" s="75"/>
    </row>
    <row r="637">
      <c r="B637" s="73"/>
      <c r="J637" s="74"/>
      <c r="K637" s="75"/>
    </row>
    <row r="638">
      <c r="B638" s="73"/>
      <c r="J638" s="74"/>
      <c r="K638" s="75"/>
    </row>
    <row r="639">
      <c r="B639" s="73"/>
      <c r="J639" s="74"/>
      <c r="K639" s="75"/>
    </row>
    <row r="640">
      <c r="B640" s="73"/>
      <c r="J640" s="74"/>
      <c r="K640" s="75"/>
    </row>
    <row r="641">
      <c r="B641" s="73"/>
      <c r="J641" s="74"/>
      <c r="K641" s="75"/>
    </row>
    <row r="642">
      <c r="B642" s="73"/>
      <c r="J642" s="74"/>
      <c r="K642" s="75"/>
    </row>
    <row r="643">
      <c r="B643" s="73"/>
      <c r="J643" s="74"/>
      <c r="K643" s="75"/>
    </row>
    <row r="644">
      <c r="B644" s="73"/>
      <c r="J644" s="74"/>
      <c r="K644" s="75"/>
    </row>
    <row r="645">
      <c r="B645" s="73"/>
      <c r="J645" s="74"/>
      <c r="K645" s="75"/>
    </row>
    <row r="646">
      <c r="B646" s="73"/>
      <c r="J646" s="74"/>
      <c r="K646" s="75"/>
    </row>
    <row r="647">
      <c r="B647" s="73"/>
      <c r="J647" s="74"/>
      <c r="K647" s="75"/>
    </row>
    <row r="648">
      <c r="B648" s="73"/>
      <c r="J648" s="74"/>
      <c r="K648" s="75"/>
    </row>
    <row r="649">
      <c r="B649" s="73"/>
      <c r="J649" s="74"/>
      <c r="K649" s="75"/>
    </row>
    <row r="650">
      <c r="B650" s="73"/>
      <c r="J650" s="74"/>
      <c r="K650" s="75"/>
    </row>
    <row r="651">
      <c r="B651" s="73"/>
      <c r="J651" s="74"/>
      <c r="K651" s="75"/>
    </row>
    <row r="652">
      <c r="B652" s="73"/>
      <c r="J652" s="74"/>
      <c r="K652" s="75"/>
    </row>
    <row r="653">
      <c r="B653" s="73"/>
      <c r="J653" s="74"/>
      <c r="K653" s="75"/>
    </row>
    <row r="654">
      <c r="B654" s="73"/>
      <c r="J654" s="74"/>
      <c r="K654" s="75"/>
    </row>
    <row r="655">
      <c r="B655" s="73"/>
      <c r="J655" s="74"/>
      <c r="K655" s="75"/>
    </row>
    <row r="656">
      <c r="B656" s="73"/>
      <c r="J656" s="74"/>
      <c r="K656" s="75"/>
    </row>
    <row r="657">
      <c r="B657" s="73"/>
      <c r="J657" s="74"/>
      <c r="K657" s="75"/>
    </row>
    <row r="658">
      <c r="B658" s="73"/>
      <c r="J658" s="74"/>
      <c r="K658" s="75"/>
    </row>
    <row r="659">
      <c r="B659" s="73"/>
      <c r="J659" s="74"/>
      <c r="K659" s="75"/>
    </row>
    <row r="660">
      <c r="B660" s="73"/>
      <c r="J660" s="74"/>
      <c r="K660" s="75"/>
    </row>
    <row r="661">
      <c r="B661" s="73"/>
      <c r="J661" s="74"/>
      <c r="K661" s="75"/>
    </row>
    <row r="662">
      <c r="B662" s="73"/>
      <c r="J662" s="74"/>
      <c r="K662" s="75"/>
    </row>
    <row r="663">
      <c r="B663" s="73"/>
      <c r="J663" s="74"/>
      <c r="K663" s="75"/>
    </row>
    <row r="664">
      <c r="B664" s="73"/>
      <c r="J664" s="74"/>
      <c r="K664" s="75"/>
    </row>
    <row r="665">
      <c r="B665" s="73"/>
      <c r="J665" s="74"/>
      <c r="K665" s="75"/>
    </row>
    <row r="666">
      <c r="B666" s="73"/>
      <c r="J666" s="74"/>
      <c r="K666" s="75"/>
    </row>
    <row r="667">
      <c r="B667" s="73"/>
      <c r="J667" s="74"/>
      <c r="K667" s="75"/>
    </row>
    <row r="668">
      <c r="B668" s="73"/>
      <c r="J668" s="74"/>
      <c r="K668" s="75"/>
    </row>
    <row r="669">
      <c r="B669" s="73"/>
      <c r="J669" s="74"/>
      <c r="K669" s="75"/>
    </row>
    <row r="670">
      <c r="B670" s="73"/>
      <c r="J670" s="74"/>
      <c r="K670" s="75"/>
    </row>
    <row r="671">
      <c r="B671" s="73"/>
      <c r="J671" s="74"/>
      <c r="K671" s="75"/>
    </row>
    <row r="672">
      <c r="B672" s="73"/>
      <c r="J672" s="74"/>
      <c r="K672" s="75"/>
    </row>
    <row r="673">
      <c r="B673" s="73"/>
      <c r="J673" s="74"/>
      <c r="K673" s="75"/>
    </row>
    <row r="674">
      <c r="B674" s="73"/>
      <c r="J674" s="74"/>
      <c r="K674" s="75"/>
    </row>
    <row r="675">
      <c r="B675" s="73"/>
      <c r="J675" s="74"/>
      <c r="K675" s="75"/>
    </row>
    <row r="676">
      <c r="B676" s="73"/>
      <c r="J676" s="74"/>
      <c r="K676" s="75"/>
    </row>
    <row r="677">
      <c r="B677" s="73"/>
      <c r="J677" s="74"/>
      <c r="K677" s="75"/>
    </row>
    <row r="678">
      <c r="B678" s="73"/>
      <c r="J678" s="74"/>
      <c r="K678" s="75"/>
    </row>
    <row r="679">
      <c r="B679" s="73"/>
      <c r="J679" s="74"/>
      <c r="K679" s="75"/>
    </row>
    <row r="680">
      <c r="B680" s="73"/>
      <c r="J680" s="74"/>
      <c r="K680" s="75"/>
    </row>
    <row r="681">
      <c r="B681" s="73"/>
      <c r="J681" s="74"/>
      <c r="K681" s="75"/>
    </row>
    <row r="682">
      <c r="B682" s="73"/>
      <c r="J682" s="74"/>
      <c r="K682" s="75"/>
    </row>
    <row r="683">
      <c r="B683" s="73"/>
      <c r="J683" s="74"/>
      <c r="K683" s="75"/>
    </row>
    <row r="684">
      <c r="B684" s="73"/>
      <c r="J684" s="74"/>
      <c r="K684" s="75"/>
    </row>
    <row r="685">
      <c r="B685" s="73"/>
      <c r="J685" s="74"/>
      <c r="K685" s="75"/>
    </row>
    <row r="686">
      <c r="B686" s="73"/>
      <c r="J686" s="74"/>
      <c r="K686" s="75"/>
    </row>
    <row r="687">
      <c r="B687" s="73"/>
      <c r="J687" s="74"/>
      <c r="K687" s="75"/>
    </row>
    <row r="688">
      <c r="B688" s="73"/>
      <c r="J688" s="74"/>
      <c r="K688" s="75"/>
    </row>
    <row r="689">
      <c r="B689" s="73"/>
      <c r="J689" s="74"/>
      <c r="K689" s="75"/>
    </row>
    <row r="690">
      <c r="B690" s="73"/>
      <c r="J690" s="74"/>
      <c r="K690" s="75"/>
    </row>
    <row r="691">
      <c r="B691" s="73"/>
      <c r="J691" s="74"/>
      <c r="K691" s="75"/>
    </row>
    <row r="692">
      <c r="B692" s="73"/>
      <c r="J692" s="74"/>
      <c r="K692" s="75"/>
    </row>
    <row r="693">
      <c r="B693" s="73"/>
      <c r="J693" s="74"/>
      <c r="K693" s="75"/>
    </row>
    <row r="694">
      <c r="B694" s="73"/>
      <c r="J694" s="74"/>
      <c r="K694" s="75"/>
    </row>
    <row r="695">
      <c r="B695" s="73"/>
      <c r="J695" s="74"/>
      <c r="K695" s="75"/>
    </row>
    <row r="696">
      <c r="B696" s="73"/>
      <c r="J696" s="74"/>
      <c r="K696" s="75"/>
    </row>
    <row r="697">
      <c r="B697" s="73"/>
      <c r="J697" s="74"/>
      <c r="K697" s="75"/>
    </row>
    <row r="698">
      <c r="B698" s="73"/>
      <c r="J698" s="74"/>
      <c r="K698" s="75"/>
    </row>
    <row r="699">
      <c r="B699" s="73"/>
      <c r="J699" s="74"/>
      <c r="K699" s="75"/>
    </row>
    <row r="700">
      <c r="B700" s="73"/>
      <c r="J700" s="74"/>
      <c r="K700" s="75"/>
    </row>
    <row r="701">
      <c r="B701" s="73"/>
      <c r="J701" s="74"/>
      <c r="K701" s="75"/>
    </row>
    <row r="702">
      <c r="B702" s="73"/>
      <c r="J702" s="74"/>
      <c r="K702" s="75"/>
    </row>
    <row r="703">
      <c r="B703" s="73"/>
      <c r="J703" s="74"/>
      <c r="K703" s="75"/>
    </row>
    <row r="704">
      <c r="B704" s="73"/>
      <c r="J704" s="74"/>
      <c r="K704" s="75"/>
    </row>
    <row r="705">
      <c r="B705" s="73"/>
      <c r="J705" s="74"/>
      <c r="K705" s="75"/>
    </row>
    <row r="706">
      <c r="B706" s="73"/>
      <c r="J706" s="74"/>
      <c r="K706" s="75"/>
    </row>
    <row r="707">
      <c r="B707" s="73"/>
      <c r="J707" s="74"/>
      <c r="K707" s="75"/>
    </row>
    <row r="708">
      <c r="B708" s="73"/>
      <c r="J708" s="74"/>
      <c r="K708" s="75"/>
    </row>
    <row r="709">
      <c r="B709" s="73"/>
      <c r="J709" s="74"/>
      <c r="K709" s="75"/>
    </row>
    <row r="710">
      <c r="B710" s="73"/>
      <c r="J710" s="74"/>
      <c r="K710" s="75"/>
    </row>
    <row r="711">
      <c r="B711" s="73"/>
      <c r="J711" s="74"/>
      <c r="K711" s="75"/>
    </row>
    <row r="712">
      <c r="B712" s="73"/>
      <c r="J712" s="74"/>
      <c r="K712" s="75"/>
    </row>
    <row r="713">
      <c r="B713" s="73"/>
      <c r="J713" s="74"/>
      <c r="K713" s="75"/>
    </row>
    <row r="714">
      <c r="B714" s="73"/>
      <c r="J714" s="74"/>
      <c r="K714" s="75"/>
    </row>
    <row r="715">
      <c r="B715" s="73"/>
      <c r="J715" s="74"/>
      <c r="K715" s="75"/>
    </row>
    <row r="716">
      <c r="B716" s="73"/>
      <c r="J716" s="74"/>
      <c r="K716" s="75"/>
    </row>
    <row r="717">
      <c r="B717" s="73"/>
      <c r="J717" s="74"/>
      <c r="K717" s="75"/>
    </row>
    <row r="718">
      <c r="B718" s="73"/>
      <c r="J718" s="74"/>
      <c r="K718" s="75"/>
    </row>
    <row r="719">
      <c r="B719" s="73"/>
      <c r="J719" s="74"/>
      <c r="K719" s="75"/>
    </row>
    <row r="720">
      <c r="B720" s="73"/>
      <c r="J720" s="74"/>
      <c r="K720" s="75"/>
    </row>
    <row r="721">
      <c r="B721" s="73"/>
      <c r="J721" s="74"/>
      <c r="K721" s="75"/>
    </row>
    <row r="722">
      <c r="B722" s="73"/>
      <c r="J722" s="74"/>
      <c r="K722" s="75"/>
    </row>
    <row r="723">
      <c r="B723" s="73"/>
      <c r="J723" s="74"/>
      <c r="K723" s="75"/>
    </row>
    <row r="724">
      <c r="B724" s="73"/>
      <c r="J724" s="74"/>
      <c r="K724" s="75"/>
    </row>
    <row r="725">
      <c r="B725" s="73"/>
      <c r="J725" s="74"/>
      <c r="K725" s="75"/>
    </row>
    <row r="726">
      <c r="B726" s="73"/>
      <c r="J726" s="74"/>
      <c r="K726" s="75"/>
    </row>
    <row r="727">
      <c r="B727" s="73"/>
      <c r="J727" s="74"/>
      <c r="K727" s="75"/>
    </row>
    <row r="728">
      <c r="B728" s="73"/>
      <c r="J728" s="74"/>
      <c r="K728" s="75"/>
    </row>
    <row r="729">
      <c r="B729" s="73"/>
      <c r="J729" s="74"/>
      <c r="K729" s="75"/>
    </row>
    <row r="730">
      <c r="B730" s="73"/>
      <c r="J730" s="74"/>
      <c r="K730" s="75"/>
    </row>
    <row r="731">
      <c r="B731" s="73"/>
      <c r="J731" s="74"/>
      <c r="K731" s="75"/>
    </row>
    <row r="732">
      <c r="B732" s="73"/>
      <c r="J732" s="74"/>
      <c r="K732" s="75"/>
    </row>
    <row r="733">
      <c r="B733" s="73"/>
      <c r="J733" s="74"/>
      <c r="K733" s="75"/>
    </row>
    <row r="734">
      <c r="B734" s="73"/>
      <c r="J734" s="74"/>
      <c r="K734" s="75"/>
    </row>
    <row r="735">
      <c r="B735" s="73"/>
      <c r="J735" s="74"/>
      <c r="K735" s="75"/>
    </row>
    <row r="736">
      <c r="B736" s="73"/>
      <c r="J736" s="74"/>
      <c r="K736" s="75"/>
    </row>
    <row r="737">
      <c r="B737" s="73"/>
      <c r="J737" s="74"/>
      <c r="K737" s="75"/>
    </row>
    <row r="738">
      <c r="B738" s="73"/>
      <c r="J738" s="74"/>
      <c r="K738" s="75"/>
    </row>
    <row r="739">
      <c r="B739" s="73"/>
      <c r="J739" s="74"/>
      <c r="K739" s="75"/>
    </row>
    <row r="740">
      <c r="B740" s="73"/>
      <c r="J740" s="74"/>
      <c r="K740" s="75"/>
    </row>
    <row r="741">
      <c r="B741" s="73"/>
      <c r="J741" s="74"/>
      <c r="K741" s="75"/>
    </row>
    <row r="742">
      <c r="B742" s="73"/>
      <c r="J742" s="74"/>
      <c r="K742" s="75"/>
    </row>
    <row r="743">
      <c r="B743" s="73"/>
      <c r="J743" s="74"/>
      <c r="K743" s="75"/>
    </row>
    <row r="744">
      <c r="B744" s="73"/>
      <c r="J744" s="74"/>
      <c r="K744" s="75"/>
    </row>
    <row r="745">
      <c r="B745" s="73"/>
      <c r="J745" s="74"/>
      <c r="K745" s="75"/>
    </row>
    <row r="746">
      <c r="B746" s="73"/>
      <c r="J746" s="74"/>
      <c r="K746" s="75"/>
    </row>
    <row r="747">
      <c r="B747" s="73"/>
      <c r="J747" s="74"/>
      <c r="K747" s="75"/>
    </row>
    <row r="748">
      <c r="B748" s="73"/>
      <c r="J748" s="74"/>
      <c r="K748" s="75"/>
    </row>
    <row r="749">
      <c r="B749" s="73"/>
      <c r="J749" s="74"/>
      <c r="K749" s="75"/>
    </row>
    <row r="750">
      <c r="B750" s="73"/>
      <c r="J750" s="74"/>
      <c r="K750" s="75"/>
    </row>
    <row r="751">
      <c r="B751" s="73"/>
      <c r="J751" s="74"/>
      <c r="K751" s="75"/>
    </row>
    <row r="752">
      <c r="B752" s="73"/>
      <c r="J752" s="74"/>
      <c r="K752" s="75"/>
    </row>
    <row r="753">
      <c r="B753" s="73"/>
      <c r="J753" s="74"/>
      <c r="K753" s="75"/>
    </row>
    <row r="754">
      <c r="B754" s="73"/>
      <c r="J754" s="74"/>
      <c r="K754" s="75"/>
    </row>
    <row r="755">
      <c r="B755" s="73"/>
      <c r="J755" s="74"/>
      <c r="K755" s="75"/>
    </row>
    <row r="756">
      <c r="B756" s="73"/>
      <c r="J756" s="74"/>
      <c r="K756" s="75"/>
    </row>
    <row r="757">
      <c r="B757" s="73"/>
      <c r="J757" s="74"/>
      <c r="K757" s="75"/>
    </row>
    <row r="758">
      <c r="B758" s="73"/>
      <c r="J758" s="74"/>
      <c r="K758" s="75"/>
    </row>
    <row r="759">
      <c r="B759" s="73"/>
      <c r="J759" s="74"/>
      <c r="K759" s="75"/>
    </row>
    <row r="760">
      <c r="B760" s="73"/>
      <c r="J760" s="74"/>
      <c r="K760" s="75"/>
    </row>
    <row r="761">
      <c r="B761" s="73"/>
      <c r="J761" s="74"/>
      <c r="K761" s="75"/>
    </row>
    <row r="762">
      <c r="B762" s="73"/>
      <c r="J762" s="74"/>
      <c r="K762" s="75"/>
    </row>
    <row r="763">
      <c r="B763" s="73"/>
      <c r="J763" s="74"/>
      <c r="K763" s="75"/>
    </row>
    <row r="764">
      <c r="B764" s="73"/>
      <c r="J764" s="74"/>
      <c r="K764" s="75"/>
    </row>
    <row r="765">
      <c r="B765" s="73"/>
      <c r="J765" s="74"/>
      <c r="K765" s="75"/>
    </row>
    <row r="766">
      <c r="B766" s="73"/>
      <c r="J766" s="74"/>
      <c r="K766" s="75"/>
    </row>
    <row r="767">
      <c r="B767" s="73"/>
      <c r="J767" s="74"/>
      <c r="K767" s="75"/>
    </row>
    <row r="768">
      <c r="B768" s="73"/>
      <c r="J768" s="74"/>
      <c r="K768" s="75"/>
    </row>
    <row r="769">
      <c r="B769" s="73"/>
      <c r="J769" s="74"/>
      <c r="K769" s="75"/>
    </row>
    <row r="770">
      <c r="B770" s="73"/>
      <c r="J770" s="74"/>
      <c r="K770" s="75"/>
    </row>
    <row r="771">
      <c r="B771" s="73"/>
      <c r="J771" s="74"/>
      <c r="K771" s="75"/>
    </row>
    <row r="772">
      <c r="B772" s="73"/>
      <c r="J772" s="74"/>
      <c r="K772" s="75"/>
    </row>
    <row r="773">
      <c r="B773" s="73"/>
      <c r="J773" s="74"/>
      <c r="K773" s="75"/>
    </row>
    <row r="774">
      <c r="B774" s="73"/>
      <c r="J774" s="74"/>
      <c r="K774" s="75"/>
    </row>
    <row r="775">
      <c r="B775" s="73"/>
      <c r="J775" s="74"/>
      <c r="K775" s="75"/>
    </row>
    <row r="776">
      <c r="B776" s="73"/>
      <c r="J776" s="74"/>
      <c r="K776" s="75"/>
    </row>
    <row r="777">
      <c r="B777" s="73"/>
      <c r="J777" s="74"/>
      <c r="K777" s="75"/>
    </row>
    <row r="778">
      <c r="B778" s="73"/>
      <c r="J778" s="74"/>
      <c r="K778" s="75"/>
    </row>
    <row r="779">
      <c r="B779" s="73"/>
      <c r="J779" s="74"/>
      <c r="K779" s="75"/>
    </row>
    <row r="780">
      <c r="B780" s="73"/>
      <c r="J780" s="74"/>
      <c r="K780" s="75"/>
    </row>
    <row r="781">
      <c r="B781" s="73"/>
      <c r="J781" s="74"/>
      <c r="K781" s="75"/>
    </row>
    <row r="782">
      <c r="B782" s="73"/>
      <c r="J782" s="74"/>
      <c r="K782" s="75"/>
    </row>
    <row r="783">
      <c r="B783" s="73"/>
      <c r="J783" s="74"/>
      <c r="K783" s="75"/>
    </row>
    <row r="784">
      <c r="B784" s="73"/>
      <c r="J784" s="74"/>
      <c r="K784" s="75"/>
    </row>
    <row r="785">
      <c r="B785" s="73"/>
      <c r="J785" s="74"/>
      <c r="K785" s="75"/>
    </row>
    <row r="786">
      <c r="B786" s="73"/>
      <c r="J786" s="74"/>
      <c r="K786" s="75"/>
    </row>
    <row r="787">
      <c r="B787" s="73"/>
      <c r="J787" s="74"/>
      <c r="K787" s="75"/>
    </row>
    <row r="788">
      <c r="B788" s="73"/>
      <c r="J788" s="74"/>
      <c r="K788" s="75"/>
    </row>
    <row r="789">
      <c r="B789" s="73"/>
      <c r="J789" s="74"/>
      <c r="K789" s="75"/>
    </row>
    <row r="790">
      <c r="B790" s="73"/>
      <c r="J790" s="74"/>
      <c r="K790" s="75"/>
    </row>
    <row r="791">
      <c r="B791" s="73"/>
      <c r="J791" s="74"/>
      <c r="K791" s="75"/>
    </row>
    <row r="792">
      <c r="B792" s="73"/>
      <c r="J792" s="74"/>
      <c r="K792" s="75"/>
    </row>
    <row r="793">
      <c r="B793" s="73"/>
      <c r="J793" s="74"/>
      <c r="K793" s="75"/>
    </row>
    <row r="794">
      <c r="B794" s="73"/>
      <c r="J794" s="74"/>
      <c r="K794" s="75"/>
    </row>
    <row r="795">
      <c r="B795" s="73"/>
      <c r="J795" s="74"/>
      <c r="K795" s="75"/>
    </row>
    <row r="796">
      <c r="B796" s="73"/>
      <c r="J796" s="74"/>
      <c r="K796" s="75"/>
    </row>
    <row r="797">
      <c r="B797" s="73"/>
      <c r="J797" s="74"/>
      <c r="K797" s="75"/>
    </row>
    <row r="798">
      <c r="B798" s="73"/>
      <c r="J798" s="74"/>
      <c r="K798" s="75"/>
    </row>
    <row r="799">
      <c r="B799" s="73"/>
      <c r="J799" s="74"/>
      <c r="K799" s="75"/>
    </row>
    <row r="800">
      <c r="B800" s="73"/>
      <c r="J800" s="74"/>
      <c r="K800" s="75"/>
    </row>
    <row r="801">
      <c r="B801" s="73"/>
      <c r="J801" s="74"/>
      <c r="K801" s="75"/>
    </row>
    <row r="802">
      <c r="B802" s="73"/>
      <c r="J802" s="74"/>
      <c r="K802" s="75"/>
    </row>
    <row r="803">
      <c r="B803" s="73"/>
      <c r="J803" s="74"/>
      <c r="K803" s="75"/>
    </row>
    <row r="804">
      <c r="B804" s="73"/>
      <c r="J804" s="74"/>
      <c r="K804" s="75"/>
    </row>
    <row r="805">
      <c r="B805" s="73"/>
      <c r="J805" s="74"/>
      <c r="K805" s="75"/>
    </row>
    <row r="806">
      <c r="B806" s="73"/>
      <c r="J806" s="74"/>
      <c r="K806" s="75"/>
    </row>
    <row r="807">
      <c r="B807" s="73"/>
      <c r="J807" s="74"/>
      <c r="K807" s="75"/>
    </row>
    <row r="808">
      <c r="B808" s="73"/>
      <c r="J808" s="74"/>
      <c r="K808" s="75"/>
    </row>
    <row r="809">
      <c r="B809" s="73"/>
      <c r="J809" s="74"/>
      <c r="K809" s="75"/>
    </row>
    <row r="810">
      <c r="B810" s="73"/>
      <c r="J810" s="74"/>
      <c r="K810" s="75"/>
    </row>
    <row r="811">
      <c r="B811" s="73"/>
      <c r="J811" s="74"/>
      <c r="K811" s="75"/>
    </row>
    <row r="812">
      <c r="B812" s="73"/>
      <c r="J812" s="74"/>
      <c r="K812" s="75"/>
    </row>
    <row r="813">
      <c r="B813" s="73"/>
      <c r="J813" s="74"/>
      <c r="K813" s="75"/>
    </row>
    <row r="814">
      <c r="B814" s="73"/>
      <c r="J814" s="74"/>
      <c r="K814" s="75"/>
    </row>
    <row r="815">
      <c r="B815" s="73"/>
      <c r="J815" s="74"/>
      <c r="K815" s="75"/>
    </row>
    <row r="816">
      <c r="B816" s="73"/>
      <c r="J816" s="74"/>
      <c r="K816" s="75"/>
    </row>
    <row r="817">
      <c r="B817" s="73"/>
      <c r="J817" s="74"/>
      <c r="K817" s="75"/>
    </row>
    <row r="818">
      <c r="B818" s="73"/>
      <c r="J818" s="74"/>
      <c r="K818" s="75"/>
    </row>
    <row r="819">
      <c r="B819" s="73"/>
      <c r="J819" s="74"/>
      <c r="K819" s="75"/>
    </row>
    <row r="820">
      <c r="B820" s="73"/>
      <c r="J820" s="74"/>
      <c r="K820" s="75"/>
    </row>
    <row r="821">
      <c r="B821" s="73"/>
      <c r="J821" s="74"/>
      <c r="K821" s="75"/>
    </row>
    <row r="822">
      <c r="B822" s="73"/>
      <c r="J822" s="74"/>
      <c r="K822" s="75"/>
    </row>
    <row r="823">
      <c r="B823" s="73"/>
      <c r="J823" s="74"/>
      <c r="K823" s="75"/>
    </row>
    <row r="824">
      <c r="B824" s="73"/>
      <c r="J824" s="74"/>
      <c r="K824" s="75"/>
    </row>
    <row r="825">
      <c r="B825" s="73"/>
      <c r="J825" s="74"/>
      <c r="K825" s="75"/>
    </row>
    <row r="826">
      <c r="B826" s="73"/>
      <c r="J826" s="74"/>
      <c r="K826" s="75"/>
    </row>
    <row r="827">
      <c r="B827" s="73"/>
      <c r="J827" s="74"/>
      <c r="K827" s="75"/>
    </row>
    <row r="828">
      <c r="B828" s="73"/>
      <c r="J828" s="74"/>
      <c r="K828" s="75"/>
    </row>
    <row r="829">
      <c r="B829" s="73"/>
      <c r="J829" s="74"/>
      <c r="K829" s="75"/>
    </row>
    <row r="830">
      <c r="B830" s="73"/>
      <c r="J830" s="74"/>
      <c r="K830" s="75"/>
    </row>
    <row r="831">
      <c r="B831" s="73"/>
      <c r="J831" s="74"/>
      <c r="K831" s="75"/>
    </row>
    <row r="832">
      <c r="B832" s="73"/>
      <c r="J832" s="74"/>
      <c r="K832" s="75"/>
    </row>
    <row r="833">
      <c r="B833" s="73"/>
      <c r="J833" s="74"/>
      <c r="K833" s="75"/>
    </row>
    <row r="834">
      <c r="B834" s="73"/>
      <c r="J834" s="74"/>
      <c r="K834" s="75"/>
    </row>
    <row r="835">
      <c r="B835" s="73"/>
      <c r="J835" s="74"/>
      <c r="K835" s="75"/>
    </row>
    <row r="836">
      <c r="B836" s="73"/>
      <c r="J836" s="74"/>
      <c r="K836" s="75"/>
    </row>
    <row r="837">
      <c r="B837" s="73"/>
      <c r="J837" s="74"/>
      <c r="K837" s="75"/>
    </row>
    <row r="838">
      <c r="B838" s="73"/>
      <c r="J838" s="74"/>
      <c r="K838" s="75"/>
    </row>
    <row r="839">
      <c r="B839" s="73"/>
      <c r="J839" s="74"/>
      <c r="K839" s="75"/>
    </row>
    <row r="840">
      <c r="B840" s="73"/>
      <c r="J840" s="74"/>
      <c r="K840" s="75"/>
    </row>
    <row r="841">
      <c r="B841" s="73"/>
      <c r="J841" s="74"/>
      <c r="K841" s="75"/>
    </row>
    <row r="842">
      <c r="B842" s="73"/>
      <c r="J842" s="74"/>
      <c r="K842" s="75"/>
    </row>
    <row r="843">
      <c r="B843" s="73"/>
      <c r="J843" s="74"/>
      <c r="K843" s="75"/>
    </row>
    <row r="844">
      <c r="B844" s="73"/>
      <c r="J844" s="74"/>
      <c r="K844" s="75"/>
    </row>
    <row r="845">
      <c r="B845" s="73"/>
      <c r="J845" s="74"/>
      <c r="K845" s="75"/>
    </row>
    <row r="846">
      <c r="B846" s="73"/>
      <c r="J846" s="74"/>
      <c r="K846" s="75"/>
    </row>
    <row r="847">
      <c r="B847" s="73"/>
      <c r="J847" s="74"/>
      <c r="K847" s="75"/>
    </row>
    <row r="848">
      <c r="B848" s="73"/>
      <c r="J848" s="74"/>
      <c r="K848" s="75"/>
    </row>
    <row r="849">
      <c r="B849" s="73"/>
      <c r="J849" s="74"/>
      <c r="K849" s="75"/>
    </row>
    <row r="850">
      <c r="B850" s="73"/>
      <c r="J850" s="74"/>
      <c r="K850" s="75"/>
    </row>
    <row r="851">
      <c r="B851" s="73"/>
      <c r="J851" s="74"/>
      <c r="K851" s="75"/>
    </row>
    <row r="852">
      <c r="B852" s="73"/>
      <c r="J852" s="74"/>
      <c r="K852" s="75"/>
    </row>
    <row r="853">
      <c r="B853" s="73"/>
      <c r="J853" s="74"/>
      <c r="K853" s="75"/>
    </row>
    <row r="854">
      <c r="B854" s="73"/>
      <c r="J854" s="74"/>
      <c r="K854" s="75"/>
    </row>
    <row r="855">
      <c r="B855" s="73"/>
      <c r="J855" s="74"/>
      <c r="K855" s="75"/>
    </row>
    <row r="856">
      <c r="B856" s="73"/>
      <c r="J856" s="74"/>
      <c r="K856" s="75"/>
    </row>
    <row r="857">
      <c r="B857" s="73"/>
      <c r="J857" s="74"/>
      <c r="K857" s="75"/>
    </row>
    <row r="858">
      <c r="B858" s="73"/>
      <c r="J858" s="74"/>
      <c r="K858" s="75"/>
    </row>
    <row r="859">
      <c r="B859" s="73"/>
      <c r="J859" s="74"/>
      <c r="K859" s="75"/>
    </row>
    <row r="860">
      <c r="B860" s="73"/>
      <c r="J860" s="74"/>
      <c r="K860" s="75"/>
    </row>
    <row r="861">
      <c r="B861" s="73"/>
      <c r="J861" s="74"/>
      <c r="K861" s="75"/>
    </row>
    <row r="862">
      <c r="B862" s="73"/>
      <c r="J862" s="74"/>
      <c r="K862" s="75"/>
    </row>
    <row r="863">
      <c r="B863" s="73"/>
      <c r="J863" s="74"/>
      <c r="K863" s="75"/>
    </row>
    <row r="864">
      <c r="B864" s="73"/>
      <c r="J864" s="74"/>
      <c r="K864" s="75"/>
    </row>
    <row r="865">
      <c r="B865" s="73"/>
      <c r="J865" s="74"/>
      <c r="K865" s="75"/>
    </row>
    <row r="866">
      <c r="B866" s="73"/>
      <c r="J866" s="74"/>
      <c r="K866" s="75"/>
    </row>
    <row r="867">
      <c r="B867" s="73"/>
      <c r="J867" s="74"/>
      <c r="K867" s="75"/>
    </row>
    <row r="868">
      <c r="B868" s="73"/>
      <c r="J868" s="74"/>
      <c r="K868" s="75"/>
    </row>
    <row r="869">
      <c r="B869" s="73"/>
      <c r="J869" s="74"/>
      <c r="K869" s="75"/>
    </row>
    <row r="870">
      <c r="B870" s="73"/>
      <c r="J870" s="74"/>
      <c r="K870" s="75"/>
    </row>
    <row r="871">
      <c r="B871" s="73"/>
      <c r="J871" s="74"/>
      <c r="K871" s="75"/>
    </row>
    <row r="872">
      <c r="B872" s="73"/>
      <c r="J872" s="74"/>
      <c r="K872" s="75"/>
    </row>
    <row r="873">
      <c r="B873" s="73"/>
      <c r="J873" s="74"/>
      <c r="K873" s="75"/>
    </row>
    <row r="874">
      <c r="B874" s="73"/>
      <c r="J874" s="74"/>
      <c r="K874" s="75"/>
    </row>
    <row r="875">
      <c r="B875" s="73"/>
      <c r="J875" s="74"/>
      <c r="K875" s="75"/>
    </row>
    <row r="876">
      <c r="B876" s="73"/>
      <c r="J876" s="74"/>
      <c r="K876" s="75"/>
    </row>
    <row r="877">
      <c r="B877" s="73"/>
      <c r="J877" s="74"/>
      <c r="K877" s="75"/>
    </row>
    <row r="878">
      <c r="B878" s="73"/>
      <c r="J878" s="74"/>
      <c r="K878" s="75"/>
    </row>
    <row r="879">
      <c r="B879" s="73"/>
      <c r="J879" s="74"/>
      <c r="K879" s="75"/>
    </row>
    <row r="880">
      <c r="B880" s="73"/>
      <c r="J880" s="74"/>
      <c r="K880" s="75"/>
    </row>
    <row r="881">
      <c r="B881" s="73"/>
      <c r="J881" s="74"/>
      <c r="K881" s="75"/>
    </row>
    <row r="882">
      <c r="B882" s="73"/>
      <c r="J882" s="74"/>
      <c r="K882" s="75"/>
    </row>
    <row r="883">
      <c r="B883" s="73"/>
      <c r="J883" s="74"/>
      <c r="K883" s="75"/>
    </row>
    <row r="884">
      <c r="B884" s="73"/>
      <c r="J884" s="74"/>
      <c r="K884" s="75"/>
    </row>
    <row r="885">
      <c r="B885" s="73"/>
      <c r="J885" s="74"/>
      <c r="K885" s="75"/>
    </row>
    <row r="886">
      <c r="B886" s="73"/>
      <c r="J886" s="74"/>
      <c r="K886" s="75"/>
    </row>
    <row r="887">
      <c r="B887" s="73"/>
      <c r="J887" s="74"/>
      <c r="K887" s="75"/>
    </row>
    <row r="888">
      <c r="B888" s="73"/>
      <c r="J888" s="74"/>
      <c r="K888" s="75"/>
    </row>
    <row r="889">
      <c r="B889" s="73"/>
      <c r="J889" s="74"/>
      <c r="K889" s="75"/>
    </row>
    <row r="890">
      <c r="B890" s="73"/>
      <c r="J890" s="74"/>
      <c r="K890" s="75"/>
    </row>
    <row r="891">
      <c r="B891" s="73"/>
      <c r="J891" s="74"/>
      <c r="K891" s="75"/>
    </row>
    <row r="892">
      <c r="B892" s="73"/>
      <c r="J892" s="74"/>
      <c r="K892" s="75"/>
    </row>
    <row r="893">
      <c r="B893" s="73"/>
      <c r="J893" s="74"/>
      <c r="K893" s="75"/>
    </row>
    <row r="894">
      <c r="B894" s="73"/>
      <c r="J894" s="74"/>
      <c r="K894" s="75"/>
    </row>
    <row r="895">
      <c r="B895" s="73"/>
      <c r="J895" s="74"/>
      <c r="K895" s="75"/>
    </row>
    <row r="896">
      <c r="B896" s="73"/>
      <c r="J896" s="74"/>
      <c r="K896" s="75"/>
    </row>
    <row r="897">
      <c r="B897" s="73"/>
      <c r="J897" s="74"/>
      <c r="K897" s="75"/>
    </row>
    <row r="898">
      <c r="B898" s="73"/>
      <c r="J898" s="74"/>
      <c r="K898" s="75"/>
    </row>
    <row r="899">
      <c r="B899" s="73"/>
      <c r="J899" s="74"/>
      <c r="K899" s="75"/>
    </row>
    <row r="900">
      <c r="B900" s="73"/>
      <c r="J900" s="74"/>
      <c r="K900" s="75"/>
    </row>
    <row r="901">
      <c r="B901" s="73"/>
      <c r="J901" s="74"/>
      <c r="K901" s="75"/>
    </row>
    <row r="902">
      <c r="B902" s="73"/>
      <c r="J902" s="74"/>
      <c r="K902" s="75"/>
    </row>
    <row r="903">
      <c r="B903" s="73"/>
      <c r="J903" s="74"/>
      <c r="K903" s="75"/>
    </row>
    <row r="904">
      <c r="B904" s="73"/>
      <c r="J904" s="74"/>
      <c r="K904" s="75"/>
    </row>
    <row r="905">
      <c r="B905" s="73"/>
      <c r="J905" s="74"/>
      <c r="K905" s="75"/>
    </row>
    <row r="906">
      <c r="B906" s="73"/>
      <c r="J906" s="74"/>
      <c r="K906" s="75"/>
    </row>
    <row r="907">
      <c r="B907" s="73"/>
      <c r="J907" s="74"/>
      <c r="K907" s="75"/>
    </row>
    <row r="908">
      <c r="B908" s="73"/>
      <c r="J908" s="74"/>
      <c r="K908" s="75"/>
    </row>
    <row r="909">
      <c r="B909" s="73"/>
      <c r="J909" s="74"/>
      <c r="K909" s="75"/>
    </row>
    <row r="910">
      <c r="B910" s="73"/>
      <c r="J910" s="74"/>
      <c r="K910" s="75"/>
    </row>
    <row r="911">
      <c r="B911" s="73"/>
      <c r="J911" s="74"/>
      <c r="K911" s="75"/>
    </row>
    <row r="912">
      <c r="B912" s="73"/>
      <c r="J912" s="74"/>
      <c r="K912" s="75"/>
    </row>
    <row r="913">
      <c r="B913" s="73"/>
      <c r="J913" s="74"/>
      <c r="K913" s="75"/>
    </row>
    <row r="914">
      <c r="B914" s="73"/>
      <c r="J914" s="74"/>
      <c r="K914" s="75"/>
    </row>
    <row r="915">
      <c r="B915" s="73"/>
      <c r="J915" s="74"/>
      <c r="K915" s="75"/>
    </row>
    <row r="916">
      <c r="B916" s="73"/>
      <c r="J916" s="74"/>
      <c r="K916" s="75"/>
    </row>
    <row r="917">
      <c r="B917" s="73"/>
      <c r="J917" s="74"/>
      <c r="K917" s="75"/>
    </row>
    <row r="918">
      <c r="B918" s="73"/>
      <c r="J918" s="74"/>
      <c r="K918" s="75"/>
    </row>
    <row r="919">
      <c r="B919" s="73"/>
      <c r="J919" s="74"/>
      <c r="K919" s="75"/>
    </row>
    <row r="920">
      <c r="B920" s="73"/>
      <c r="J920" s="74"/>
      <c r="K920" s="75"/>
    </row>
    <row r="921">
      <c r="B921" s="73"/>
      <c r="J921" s="74"/>
      <c r="K921" s="75"/>
    </row>
    <row r="922">
      <c r="B922" s="73"/>
      <c r="J922" s="74"/>
      <c r="K922" s="75"/>
    </row>
    <row r="923">
      <c r="B923" s="73"/>
      <c r="J923" s="74"/>
      <c r="K923" s="75"/>
    </row>
    <row r="924">
      <c r="B924" s="73"/>
      <c r="J924" s="74"/>
      <c r="K924" s="75"/>
    </row>
    <row r="925">
      <c r="B925" s="73"/>
      <c r="J925" s="74"/>
      <c r="K925" s="75"/>
    </row>
    <row r="926">
      <c r="B926" s="73"/>
      <c r="J926" s="74"/>
      <c r="K926" s="75"/>
    </row>
    <row r="927">
      <c r="B927" s="73"/>
      <c r="J927" s="74"/>
      <c r="K927" s="75"/>
    </row>
    <row r="928">
      <c r="B928" s="73"/>
      <c r="J928" s="74"/>
      <c r="K928" s="75"/>
    </row>
    <row r="929">
      <c r="B929" s="73"/>
      <c r="J929" s="74"/>
      <c r="K929" s="75"/>
    </row>
    <row r="930">
      <c r="B930" s="73"/>
      <c r="J930" s="74"/>
      <c r="K930" s="75"/>
    </row>
    <row r="931">
      <c r="B931" s="73"/>
      <c r="J931" s="74"/>
      <c r="K931" s="75"/>
    </row>
    <row r="932">
      <c r="B932" s="73"/>
      <c r="J932" s="74"/>
      <c r="K932" s="75"/>
    </row>
    <row r="933">
      <c r="B933" s="73"/>
      <c r="J933" s="74"/>
      <c r="K933" s="75"/>
    </row>
    <row r="934">
      <c r="B934" s="73"/>
      <c r="J934" s="74"/>
      <c r="K934" s="75"/>
    </row>
    <row r="935">
      <c r="B935" s="73"/>
      <c r="J935" s="74"/>
      <c r="K935" s="75"/>
    </row>
    <row r="936">
      <c r="B936" s="73"/>
      <c r="J936" s="74"/>
      <c r="K936" s="75"/>
    </row>
    <row r="937">
      <c r="B937" s="73"/>
      <c r="J937" s="74"/>
      <c r="K937" s="75"/>
    </row>
    <row r="938">
      <c r="B938" s="73"/>
      <c r="J938" s="74"/>
      <c r="K938" s="75"/>
    </row>
    <row r="939">
      <c r="B939" s="73"/>
      <c r="J939" s="74"/>
      <c r="K939" s="75"/>
    </row>
    <row r="940">
      <c r="B940" s="73"/>
      <c r="J940" s="74"/>
      <c r="K940" s="75"/>
    </row>
    <row r="941">
      <c r="B941" s="73"/>
      <c r="J941" s="74"/>
      <c r="K941" s="75"/>
    </row>
    <row r="942">
      <c r="B942" s="73"/>
      <c r="J942" s="74"/>
      <c r="K942" s="75"/>
    </row>
    <row r="943">
      <c r="B943" s="73"/>
      <c r="J943" s="74"/>
      <c r="K943" s="75"/>
    </row>
    <row r="944">
      <c r="B944" s="73"/>
      <c r="J944" s="74"/>
      <c r="K944" s="75"/>
    </row>
    <row r="945">
      <c r="B945" s="73"/>
      <c r="J945" s="74"/>
      <c r="K945" s="75"/>
    </row>
    <row r="946">
      <c r="B946" s="73"/>
      <c r="J946" s="74"/>
      <c r="K946" s="75"/>
    </row>
    <row r="947">
      <c r="B947" s="73"/>
      <c r="J947" s="74"/>
      <c r="K947" s="75"/>
    </row>
    <row r="948">
      <c r="B948" s="73"/>
      <c r="J948" s="74"/>
      <c r="K948" s="75"/>
    </row>
    <row r="949">
      <c r="B949" s="73"/>
      <c r="J949" s="74"/>
      <c r="K949" s="75"/>
    </row>
    <row r="950">
      <c r="B950" s="73"/>
      <c r="J950" s="74"/>
      <c r="K950" s="75"/>
    </row>
    <row r="951">
      <c r="B951" s="73"/>
      <c r="J951" s="74"/>
      <c r="K951" s="75"/>
    </row>
    <row r="952">
      <c r="B952" s="73"/>
      <c r="J952" s="74"/>
      <c r="K952" s="75"/>
    </row>
    <row r="953">
      <c r="B953" s="73"/>
      <c r="J953" s="74"/>
      <c r="K953" s="75"/>
    </row>
    <row r="954">
      <c r="B954" s="73"/>
      <c r="J954" s="74"/>
      <c r="K954" s="75"/>
    </row>
    <row r="955">
      <c r="B955" s="73"/>
      <c r="J955" s="74"/>
      <c r="K955" s="75"/>
    </row>
    <row r="956">
      <c r="B956" s="73"/>
      <c r="J956" s="74"/>
      <c r="K956" s="75"/>
    </row>
    <row r="957">
      <c r="B957" s="73"/>
      <c r="J957" s="74"/>
      <c r="K957" s="75"/>
    </row>
    <row r="958">
      <c r="B958" s="73"/>
      <c r="J958" s="74"/>
      <c r="K958" s="75"/>
    </row>
    <row r="959">
      <c r="B959" s="73"/>
      <c r="J959" s="74"/>
      <c r="K959" s="75"/>
    </row>
    <row r="960">
      <c r="B960" s="73"/>
      <c r="J960" s="74"/>
      <c r="K960" s="75"/>
    </row>
    <row r="961">
      <c r="B961" s="73"/>
      <c r="J961" s="74"/>
      <c r="K961" s="75"/>
    </row>
    <row r="962">
      <c r="B962" s="73"/>
      <c r="J962" s="74"/>
      <c r="K962" s="75"/>
    </row>
    <row r="963">
      <c r="B963" s="73"/>
      <c r="J963" s="74"/>
      <c r="K963" s="75"/>
    </row>
    <row r="964">
      <c r="B964" s="73"/>
      <c r="J964" s="74"/>
      <c r="K964" s="75"/>
    </row>
    <row r="965">
      <c r="B965" s="73"/>
      <c r="J965" s="74"/>
      <c r="K965" s="75"/>
    </row>
    <row r="966">
      <c r="B966" s="73"/>
      <c r="J966" s="74"/>
      <c r="K966" s="75"/>
    </row>
    <row r="967">
      <c r="B967" s="73"/>
      <c r="J967" s="74"/>
      <c r="K967" s="75"/>
    </row>
    <row r="968">
      <c r="B968" s="73"/>
      <c r="J968" s="74"/>
      <c r="K968" s="75"/>
    </row>
    <row r="969">
      <c r="B969" s="73"/>
      <c r="J969" s="74"/>
      <c r="K969" s="75"/>
    </row>
    <row r="970">
      <c r="B970" s="73"/>
      <c r="J970" s="74"/>
      <c r="K970" s="75"/>
    </row>
    <row r="971">
      <c r="B971" s="73"/>
      <c r="J971" s="74"/>
      <c r="K971" s="75"/>
    </row>
    <row r="972">
      <c r="B972" s="73"/>
      <c r="J972" s="74"/>
      <c r="K972" s="75"/>
    </row>
    <row r="973">
      <c r="B973" s="73"/>
      <c r="J973" s="74"/>
      <c r="K973" s="75"/>
    </row>
    <row r="974">
      <c r="B974" s="73"/>
      <c r="J974" s="74"/>
      <c r="K974" s="75"/>
    </row>
    <row r="975">
      <c r="B975" s="73"/>
      <c r="J975" s="74"/>
      <c r="K975" s="75"/>
    </row>
    <row r="976">
      <c r="B976" s="73"/>
      <c r="J976" s="74"/>
      <c r="K976" s="75"/>
    </row>
    <row r="977">
      <c r="B977" s="73"/>
      <c r="J977" s="74"/>
      <c r="K977" s="75"/>
    </row>
    <row r="978">
      <c r="B978" s="73"/>
      <c r="J978" s="74"/>
      <c r="K978" s="75"/>
    </row>
    <row r="979">
      <c r="B979" s="73"/>
      <c r="J979" s="74"/>
      <c r="K979" s="75"/>
    </row>
    <row r="980">
      <c r="B980" s="73"/>
      <c r="J980" s="74"/>
      <c r="K980" s="75"/>
    </row>
    <row r="981">
      <c r="B981" s="73"/>
      <c r="J981" s="74"/>
      <c r="K981" s="75"/>
    </row>
    <row r="982">
      <c r="B982" s="73"/>
      <c r="J982" s="74"/>
      <c r="K982" s="75"/>
    </row>
    <row r="983">
      <c r="B983" s="73"/>
      <c r="J983" s="74"/>
      <c r="K983" s="75"/>
    </row>
    <row r="984">
      <c r="B984" s="73"/>
      <c r="J984" s="74"/>
      <c r="K984" s="75"/>
    </row>
    <row r="985">
      <c r="B985" s="73"/>
      <c r="J985" s="74"/>
      <c r="K985" s="75"/>
    </row>
    <row r="986">
      <c r="B986" s="73"/>
      <c r="J986" s="74"/>
      <c r="K986" s="75"/>
    </row>
    <row r="987">
      <c r="B987" s="73"/>
      <c r="J987" s="74"/>
      <c r="K987" s="75"/>
    </row>
    <row r="988">
      <c r="B988" s="73"/>
      <c r="J988" s="74"/>
      <c r="K988" s="75"/>
    </row>
    <row r="989">
      <c r="B989" s="73"/>
      <c r="J989" s="74"/>
      <c r="K989" s="75"/>
    </row>
    <row r="990">
      <c r="B990" s="73"/>
      <c r="J990" s="74"/>
      <c r="K990" s="75"/>
    </row>
    <row r="991">
      <c r="B991" s="73"/>
      <c r="J991" s="74"/>
      <c r="K991" s="75"/>
    </row>
    <row r="992">
      <c r="B992" s="73"/>
      <c r="J992" s="74"/>
      <c r="K992" s="75"/>
    </row>
    <row r="993">
      <c r="B993" s="73"/>
      <c r="J993" s="74"/>
      <c r="K993" s="75"/>
    </row>
    <row r="994">
      <c r="B994" s="73"/>
      <c r="J994" s="74"/>
      <c r="K994" s="75"/>
    </row>
    <row r="995">
      <c r="B995" s="73"/>
      <c r="J995" s="74"/>
      <c r="K995" s="75"/>
    </row>
    <row r="996">
      <c r="B996" s="73"/>
      <c r="J996" s="74"/>
      <c r="K996" s="75"/>
    </row>
    <row r="997">
      <c r="B997" s="73"/>
      <c r="J997" s="74"/>
      <c r="K997" s="75"/>
    </row>
    <row r="998">
      <c r="B998" s="73"/>
      <c r="J998" s="74"/>
      <c r="K998" s="75"/>
    </row>
    <row r="999">
      <c r="B999" s="73"/>
      <c r="J999" s="74"/>
      <c r="K999" s="75"/>
    </row>
    <row r="1000">
      <c r="B1000" s="73"/>
      <c r="J1000" s="74"/>
      <c r="K1000" s="75"/>
    </row>
  </sheetData>
  <drawing r:id="rId1"/>
</worksheet>
</file>